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46289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46289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46289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46289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46289</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46289</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46289</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58951-2025</t>
        </is>
      </c>
      <c r="B18" t="inlineStr">
        <is>
          <t>avverkningsanmälan</t>
        </is>
      </c>
      <c r="C18" t="inlineStr">
        <is>
          <t>Föryngringsavverkning</t>
        </is>
      </c>
      <c r="D18" s="1" t="n">
        <v>45987</v>
      </c>
      <c r="E18" s="1" t="n">
        <v>46289</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14416-2023</t>
        </is>
      </c>
      <c r="B19" t="inlineStr">
        <is>
          <t>avverkningsanmälan</t>
        </is>
      </c>
      <c r="C19" t="inlineStr">
        <is>
          <t>Föryngringsavverkning</t>
        </is>
      </c>
      <c r="D19" s="1" t="n">
        <v>45012</v>
      </c>
      <c r="E19" s="1" t="n">
        <v>46289</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8286-2026</t>
        </is>
      </c>
      <c r="B20" t="inlineStr">
        <is>
          <t>avverkningsanmälan</t>
        </is>
      </c>
      <c r="C20" t="inlineStr">
        <is>
          <t>Föryngringsavverkning</t>
        </is>
      </c>
      <c r="D20" s="1" t="n">
        <v>46063</v>
      </c>
      <c r="E20" s="1" t="n">
        <v>46289</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46289</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46289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46289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13684-2022</t>
        </is>
      </c>
      <c r="B27" t="inlineStr">
        <is>
          <t>avverkningsanmälan</t>
        </is>
      </c>
      <c r="C27" t="inlineStr">
        <is>
          <t>Föryngringsavverkning</t>
        </is>
      </c>
      <c r="D27" s="1" t="n">
        <v>44648</v>
      </c>
      <c r="E27" s="1" t="n">
        <v>46289</v>
      </c>
      <c r="F27" t="inlineStr">
        <is>
          <t>JÖNKÖPINGS LÄN</t>
        </is>
      </c>
      <c r="G27" t="inlineStr">
        <is>
          <t>VAGGERYD</t>
        </is>
      </c>
      <c r="I27" t="n">
        <v>1</v>
      </c>
      <c r="J27" t="n">
        <v>0</v>
      </c>
      <c r="K27" t="n">
        <v>0</v>
      </c>
      <c r="L27" t="n">
        <v>1</v>
      </c>
      <c r="M27" t="n">
        <v>0</v>
      </c>
      <c r="N27" t="n">
        <v>0</v>
      </c>
      <c r="O27" t="n">
        <v>0</v>
      </c>
      <c r="P27" t="n">
        <v>0</v>
      </c>
      <c r="Q27" t="n">
        <v>1</v>
      </c>
      <c r="R27" t="n">
        <v>0</v>
      </c>
      <c r="S27" t="n">
        <v>1</v>
      </c>
      <c r="T27" t="n">
        <v>1</v>
      </c>
      <c r="U27" t="n">
        <v>0</v>
      </c>
      <c r="V27" s="2" t="inlineStr">
        <is>
          <t>Jungfrulin</t>
        </is>
      </c>
      <c r="W27">
        <f>HYPERLINK("https://klasma.github.io/Logging_0665/artfynd/A 13684-2022 artfynd.xlsx", "A 13684-2022")</f>
        <v/>
      </c>
      <c r="X27">
        <f>HYPERLINK("https://klasma.github.io/Logging_0665/kartor/A 13684-2022 karta.png", "A 13684-2022")</f>
        <v/>
      </c>
      <c r="Y27">
        <f>HYPERLINK("https://klasma.github.io/Logging_0665/kartor_geotiff/A 13684-2022 georefererad karta.tif", "A 13684-2022")</f>
        <v/>
      </c>
      <c r="AA27">
        <f>HYPERLINK("https://klasma.github.io/Logging_0665/klagomål/A 13684-2022 FSC-klagomål.docx", "A 13684-2022")</f>
        <v/>
      </c>
      <c r="AB27">
        <f>HYPERLINK("https://klasma.github.io/Logging_0665/klagomålsmail/A 13684-2022 FSC-klagomål mail.docx", "A 13684-2022")</f>
        <v/>
      </c>
      <c r="AC27">
        <f>HYPERLINK("https://klasma.github.io/Logging_0665/tillsyn/A 13684-2022 tillsynsbegäran.docx", "A 13684-2022")</f>
        <v/>
      </c>
      <c r="AD27">
        <f>HYPERLINK("https://klasma.github.io/Logging_0665/tillsynsmail/A 13684-2022 tillsynsbegäran mail.docx", "A 13684-2022")</f>
        <v/>
      </c>
    </row>
    <row r="28" ht="15" customHeight="1">
      <c r="A28" t="inlineStr">
        <is>
          <t>A 43652-2023</t>
        </is>
      </c>
      <c r="B28" t="inlineStr">
        <is>
          <t>avverkningsanmälan</t>
        </is>
      </c>
      <c r="C28" t="inlineStr">
        <is>
          <t>Avverkning för annat ändamål</t>
        </is>
      </c>
      <c r="D28" s="1" t="n">
        <v>45187</v>
      </c>
      <c r="E28" s="1" t="n">
        <v>46289</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HYPERLINK("https://klasma.github.io/Logging_0665/artfynd/A 43652-2023 artfynd.xlsx", "A 43652-2023")</f>
        <v/>
      </c>
      <c r="X28">
        <f>HYPERLINK("https://klasma.github.io/Logging_0665/kartor/A 43652-2023 karta.png", "A 43652-2023")</f>
        <v/>
      </c>
      <c r="Y28">
        <f>HYPERLINK("https://klasma.github.io/Logging_0665/kartor_geotiff/A 43652-2023 georefererad karta.tif", "A 43652-2023")</f>
        <v/>
      </c>
      <c r="AA28">
        <f>HYPERLINK("https://klasma.github.io/Logging_0665/klagomål/A 43652-2023 FSC-klagomål.docx", "A 43652-2023")</f>
        <v/>
      </c>
      <c r="AB28">
        <f>HYPERLINK("https://klasma.github.io/Logging_0665/klagomålsmail/A 43652-2023 FSC-klagomål mail.docx", "A 43652-2023")</f>
        <v/>
      </c>
      <c r="AC28">
        <f>HYPERLINK("https://klasma.github.io/Logging_0665/tillsyn/A 43652-2023 tillsynsbegäran.docx", "A 43652-2023")</f>
        <v/>
      </c>
      <c r="AD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46289</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HYPERLINK("https://klasma.github.io/Logging_0665/artfynd/A 43654-2023 artfynd.xlsx", "A 43654-2023")</f>
        <v/>
      </c>
      <c r="X29">
        <f>HYPERLINK("https://klasma.github.io/Logging_0665/kartor/A 43654-2023 karta.png", "A 43654-2023")</f>
        <v/>
      </c>
      <c r="Y29">
        <f>HYPERLINK("https://klasma.github.io/Logging_0665/kartor_geotiff/A 43654-2023 georefererad karta.tif", "A 43654-2023")</f>
        <v/>
      </c>
      <c r="AA29">
        <f>HYPERLINK("https://klasma.github.io/Logging_0665/klagomål/A 43654-2023 FSC-klagomål.docx", "A 43654-2023")</f>
        <v/>
      </c>
      <c r="AB29">
        <f>HYPERLINK("https://klasma.github.io/Logging_0665/klagomålsmail/A 43654-2023 FSC-klagomål mail.docx", "A 43654-2023")</f>
        <v/>
      </c>
      <c r="AC29">
        <f>HYPERLINK("https://klasma.github.io/Logging_0665/tillsyn/A 43654-2023 tillsynsbegäran.docx", "A 43654-2023")</f>
        <v/>
      </c>
      <c r="AD29">
        <f>HYPERLINK("https://klasma.github.io/Logging_0665/tillsynsmail/A 43654-2023 tillsynsbegäran mail.docx", "A 43654-2023")</f>
        <v/>
      </c>
    </row>
    <row r="30" ht="15" customHeight="1">
      <c r="A30" t="inlineStr">
        <is>
          <t>A 60509-2025</t>
        </is>
      </c>
      <c r="B30" t="inlineStr">
        <is>
          <t>avverkningsanmälan</t>
        </is>
      </c>
      <c r="C30" t="inlineStr">
        <is>
          <t>Föryngringsavverkning</t>
        </is>
      </c>
      <c r="D30" s="1" t="n">
        <v>45995</v>
      </c>
      <c r="E30" s="1" t="n">
        <v>46289</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46289</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34094-2025</t>
        </is>
      </c>
      <c r="B32" t="inlineStr">
        <is>
          <t>avverkningsanmälan</t>
        </is>
      </c>
      <c r="C32" t="inlineStr">
        <is>
          <t>Föryngringsavverkning</t>
        </is>
      </c>
      <c r="D32" s="1" t="n">
        <v>45845</v>
      </c>
      <c r="E32" s="1" t="n">
        <v>46289</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A 16941-2023</t>
        </is>
      </c>
      <c r="B33" t="inlineStr">
        <is>
          <t>avverkningsanmälan</t>
        </is>
      </c>
      <c r="C33" t="inlineStr">
        <is>
          <t>Föryngringsavverkning</t>
        </is>
      </c>
      <c r="D33" s="1" t="n">
        <v>45033</v>
      </c>
      <c r="E33" s="1" t="n">
        <v>46289</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46289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46289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46289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46289</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46289</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46289</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46289</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46289</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46289</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46289</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46289</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46289</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46289</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46289</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46289</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46289</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46289</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46289</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46289</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46289</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46289</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46289</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46289</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46289</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46289</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46289</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46289</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46289</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50014-2022</t>
        </is>
      </c>
      <c r="B66" t="inlineStr">
        <is>
          <t>avverkningsanmälan</t>
        </is>
      </c>
      <c r="C66" t="inlineStr">
        <is>
          <t>Föryngringsavverkning</t>
        </is>
      </c>
      <c r="D66" s="1" t="n">
        <v>44865</v>
      </c>
      <c r="E66" s="1" t="n">
        <v>46289</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53570-2022</t>
        </is>
      </c>
      <c r="B67" t="inlineStr">
        <is>
          <t>avverkningsanmälan</t>
        </is>
      </c>
      <c r="C67" t="inlineStr">
        <is>
          <t>Föryngringsavverkning</t>
        </is>
      </c>
      <c r="D67" s="1" t="n">
        <v>44879</v>
      </c>
      <c r="E67" s="1" t="n">
        <v>46289</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17672-2022</t>
        </is>
      </c>
      <c r="B68" t="inlineStr">
        <is>
          <t>avverkningsanmälan</t>
        </is>
      </c>
      <c r="C68" t="inlineStr">
        <is>
          <t>Föryngringsavverkning</t>
        </is>
      </c>
      <c r="D68" s="1" t="n">
        <v>44680</v>
      </c>
      <c r="E68" s="1" t="n">
        <v>46289</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64065-2021</t>
        </is>
      </c>
      <c r="B69" t="inlineStr">
        <is>
          <t>avverkningsanmälan</t>
        </is>
      </c>
      <c r="C69" t="inlineStr">
        <is>
          <t>Föryngringsavverkning</t>
        </is>
      </c>
      <c r="D69" s="1" t="n">
        <v>44510</v>
      </c>
      <c r="E69" s="1" t="n">
        <v>46289</v>
      </c>
      <c r="F69" t="inlineStr">
        <is>
          <t>JÖNKÖPINGS LÄN</t>
        </is>
      </c>
      <c r="G69" t="inlineStr">
        <is>
          <t>VAGGERYD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64069-2021</t>
        </is>
      </c>
      <c r="B70" t="inlineStr">
        <is>
          <t>avverkningsanmälan</t>
        </is>
      </c>
      <c r="C70" t="inlineStr">
        <is>
          <t>Föryngringsavverkning</t>
        </is>
      </c>
      <c r="D70" s="1" t="n">
        <v>44510</v>
      </c>
      <c r="E70" s="1" t="n">
        <v>46289</v>
      </c>
      <c r="F70" t="inlineStr">
        <is>
          <t>JÖNKÖPINGS LÄN</t>
        </is>
      </c>
      <c r="G70" t="inlineStr">
        <is>
          <t>VAGGERYD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73108-2021</t>
        </is>
      </c>
      <c r="B71" t="inlineStr">
        <is>
          <t>avverkningsanmälan</t>
        </is>
      </c>
      <c r="C71" t="inlineStr">
        <is>
          <t>Avverkning för att bevara och utveckla /försöksver</t>
        </is>
      </c>
      <c r="D71" s="1" t="n">
        <v>44550</v>
      </c>
      <c r="E71" s="1" t="n">
        <v>46289</v>
      </c>
      <c r="F71" t="inlineStr">
        <is>
          <t>JÖNKÖPINGS LÄN</t>
        </is>
      </c>
      <c r="G71" t="inlineStr">
        <is>
          <t>VAGGERYD</t>
        </is>
      </c>
      <c r="H71" t="inlineStr">
        <is>
          <t>Sveaskog</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16093-2025</t>
        </is>
      </c>
      <c r="B72" t="inlineStr">
        <is>
          <t>avverkningsanmälan</t>
        </is>
      </c>
      <c r="C72" t="inlineStr">
        <is>
          <t>Föryngringsavverkning</t>
        </is>
      </c>
      <c r="D72" s="1" t="n">
        <v>45749</v>
      </c>
      <c r="E72" s="1" t="n">
        <v>46289</v>
      </c>
      <c r="F72" t="inlineStr">
        <is>
          <t>JÖNKÖPINGS LÄN</t>
        </is>
      </c>
      <c r="G72" t="inlineStr">
        <is>
          <t>VAGGERYD</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46289</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70240-2021</t>
        </is>
      </c>
      <c r="B74" t="inlineStr">
        <is>
          <t>avverkningsanmälan</t>
        </is>
      </c>
      <c r="C74" t="inlineStr">
        <is>
          <t>Föryngringsavverkning</t>
        </is>
      </c>
      <c r="D74" s="1" t="n">
        <v>44536</v>
      </c>
      <c r="E74" s="1" t="n">
        <v>46289</v>
      </c>
      <c r="F74" t="inlineStr">
        <is>
          <t>JÖNKÖPINGS LÄN</t>
        </is>
      </c>
      <c r="G74" t="inlineStr">
        <is>
          <t>VAGGERYD</t>
        </is>
      </c>
      <c r="H74" t="inlineStr">
        <is>
          <t>Sveaskog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58617-2024</t>
        </is>
      </c>
      <c r="B75" t="inlineStr">
        <is>
          <t>avverkningsanmälan</t>
        </is>
      </c>
      <c r="C75" t="inlineStr">
        <is>
          <t>Föryngringsavverkning</t>
        </is>
      </c>
      <c r="D75" s="1" t="n">
        <v>45635</v>
      </c>
      <c r="E75" s="1" t="n">
        <v>46289</v>
      </c>
      <c r="F75" t="inlineStr">
        <is>
          <t>JÖNKÖPINGS LÄN</t>
        </is>
      </c>
      <c r="G75" t="inlineStr">
        <is>
          <t>VAGGERYD</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13675-2022</t>
        </is>
      </c>
      <c r="B76" t="inlineStr">
        <is>
          <t>avverkningsanmälan</t>
        </is>
      </c>
      <c r="C76" t="inlineStr">
        <is>
          <t>Föryngringsavverkning</t>
        </is>
      </c>
      <c r="D76" s="1" t="n">
        <v>44648</v>
      </c>
      <c r="E76" s="1" t="n">
        <v>46289</v>
      </c>
      <c r="F76" t="inlineStr">
        <is>
          <t>JÖNKÖPINGS LÄN</t>
        </is>
      </c>
      <c r="G76" t="inlineStr">
        <is>
          <t>VAGGERYD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46289</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46289</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46289</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5803-2025</t>
        </is>
      </c>
      <c r="B80" t="inlineStr">
        <is>
          <t>avverkningsanmälan</t>
        </is>
      </c>
      <c r="C80" t="inlineStr">
        <is>
          <t>Föryngringsavverkning</t>
        </is>
      </c>
      <c r="D80" s="1" t="n">
        <v>45694</v>
      </c>
      <c r="E80" s="1" t="n">
        <v>46289</v>
      </c>
      <c r="F80" t="inlineStr">
        <is>
          <t>JÖNKÖPINGS LÄN</t>
        </is>
      </c>
      <c r="G80" t="inlineStr">
        <is>
          <t>VAGGERYD</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35450-2022</t>
        </is>
      </c>
      <c r="B81" t="inlineStr">
        <is>
          <t>avverkningsanmälan</t>
        </is>
      </c>
      <c r="C81" t="inlineStr">
        <is>
          <t>Föryngringsavverkning</t>
        </is>
      </c>
      <c r="D81" s="1" t="n">
        <v>44798</v>
      </c>
      <c r="E81" s="1" t="n">
        <v>46289</v>
      </c>
      <c r="F81" t="inlineStr">
        <is>
          <t>JÖNKÖPINGS LÄN</t>
        </is>
      </c>
      <c r="G81" t="inlineStr">
        <is>
          <t>VAGGERYD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36547-2023</t>
        </is>
      </c>
      <c r="B82" t="inlineStr">
        <is>
          <t>avverkningsanmälan</t>
        </is>
      </c>
      <c r="C82" t="inlineStr">
        <is>
          <t>Avverkning för annat ändamål</t>
        </is>
      </c>
      <c r="D82" s="1" t="n">
        <v>45152</v>
      </c>
      <c r="E82" s="1" t="n">
        <v>46289</v>
      </c>
      <c r="F82" t="inlineStr">
        <is>
          <t>JÖNKÖPINGS LÄN</t>
        </is>
      </c>
      <c r="G82" t="inlineStr">
        <is>
          <t>VAGGERYD</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36555-2023</t>
        </is>
      </c>
      <c r="B83" t="inlineStr">
        <is>
          <t>avverkningsanmälan</t>
        </is>
      </c>
      <c r="C83" t="inlineStr">
        <is>
          <t>Avverkning för annat ändamål</t>
        </is>
      </c>
      <c r="D83" s="1" t="n">
        <v>45152</v>
      </c>
      <c r="E83" s="1" t="n">
        <v>46289</v>
      </c>
      <c r="F83" t="inlineStr">
        <is>
          <t>JÖNKÖPINGS LÄN</t>
        </is>
      </c>
      <c r="G83" t="inlineStr">
        <is>
          <t>VAGGERYD</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52048-2023</t>
        </is>
      </c>
      <c r="B84" t="inlineStr">
        <is>
          <t>avverkningsanmälan</t>
        </is>
      </c>
      <c r="C84" t="inlineStr">
        <is>
          <t>Föryngringsavverkning</t>
        </is>
      </c>
      <c r="D84" s="1" t="n">
        <v>45223</v>
      </c>
      <c r="E84" s="1" t="n">
        <v>46289</v>
      </c>
      <c r="F84" t="inlineStr">
        <is>
          <t>JÖNKÖPINGS LÄN</t>
        </is>
      </c>
      <c r="G84" t="inlineStr">
        <is>
          <t>VAGGERYD</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47924-2022</t>
        </is>
      </c>
      <c r="B85" t="inlineStr">
        <is>
          <t>avverkningsanmälan</t>
        </is>
      </c>
      <c r="C85" t="inlineStr">
        <is>
          <t>Föryngringsavverkning</t>
        </is>
      </c>
      <c r="D85" s="1" t="n">
        <v>44855</v>
      </c>
      <c r="E85" s="1" t="n">
        <v>46289</v>
      </c>
      <c r="F85" t="inlineStr">
        <is>
          <t>JÖNKÖPINGS LÄN</t>
        </is>
      </c>
      <c r="G85" t="inlineStr">
        <is>
          <t>VAGGERYD</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10638-2023</t>
        </is>
      </c>
      <c r="B86" t="inlineStr">
        <is>
          <t>avverkningsanmälan</t>
        </is>
      </c>
      <c r="C86" t="inlineStr">
        <is>
          <t>Föryngringsavverkning</t>
        </is>
      </c>
      <c r="D86" s="1" t="n">
        <v>44988</v>
      </c>
      <c r="E86" s="1" t="n">
        <v>46289</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16625-2023</t>
        </is>
      </c>
      <c r="B87" t="inlineStr">
        <is>
          <t>avverkningsanmälan</t>
        </is>
      </c>
      <c r="C87" t="inlineStr">
        <is>
          <t>Föryngringsavverkning</t>
        </is>
      </c>
      <c r="D87" s="1" t="n">
        <v>45030</v>
      </c>
      <c r="E87" s="1" t="n">
        <v>46289</v>
      </c>
      <c r="F87" t="inlineStr">
        <is>
          <t>JÖNKÖPINGS LÄN</t>
        </is>
      </c>
      <c r="G87" t="inlineStr">
        <is>
          <t>VAGGERYD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55246-2023</t>
        </is>
      </c>
      <c r="B88" t="inlineStr">
        <is>
          <t>avverkningsanmälan</t>
        </is>
      </c>
      <c r="C88" t="inlineStr">
        <is>
          <t>Föryngringsavverkning</t>
        </is>
      </c>
      <c r="D88" s="1" t="n">
        <v>45237</v>
      </c>
      <c r="E88" s="1" t="n">
        <v>46289</v>
      </c>
      <c r="F88" t="inlineStr">
        <is>
          <t>JÖNKÖPINGS LÄN</t>
        </is>
      </c>
      <c r="G88" t="inlineStr">
        <is>
          <t>VAGGERYD</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59040-2021</t>
        </is>
      </c>
      <c r="B89" t="inlineStr">
        <is>
          <t>avverkningsanmälan</t>
        </is>
      </c>
      <c r="C89" t="inlineStr">
        <is>
          <t>Föryngringsavverkning</t>
        </is>
      </c>
      <c r="D89" s="1" t="n">
        <v>44490</v>
      </c>
      <c r="E89" s="1" t="n">
        <v>46289</v>
      </c>
      <c r="F89" t="inlineStr">
        <is>
          <t>JÖNKÖPINGS LÄN</t>
        </is>
      </c>
      <c r="G89" t="inlineStr">
        <is>
          <t>VAGGERYD</t>
        </is>
      </c>
      <c r="H89" t="inlineStr">
        <is>
          <t>Sveaskog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39366-2023</t>
        </is>
      </c>
      <c r="B90" t="inlineStr">
        <is>
          <t>avverkningsanmälan</t>
        </is>
      </c>
      <c r="C90" t="inlineStr">
        <is>
          <t>Föryngringsavverkning</t>
        </is>
      </c>
      <c r="D90" s="1" t="n">
        <v>45166</v>
      </c>
      <c r="E90" s="1" t="n">
        <v>46289</v>
      </c>
      <c r="F90" t="inlineStr">
        <is>
          <t>JÖNKÖPINGS LÄN</t>
        </is>
      </c>
      <c r="G90" t="inlineStr">
        <is>
          <t>VAGGERYD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15920-2025</t>
        </is>
      </c>
      <c r="B91" t="inlineStr">
        <is>
          <t>avverkningsanmälan</t>
        </is>
      </c>
      <c r="C91" t="inlineStr">
        <is>
          <t>Föryngringsavverkning</t>
        </is>
      </c>
      <c r="D91" s="1" t="n">
        <v>45749</v>
      </c>
      <c r="E91" s="1" t="n">
        <v>46289</v>
      </c>
      <c r="F91" t="inlineStr">
        <is>
          <t>JÖNKÖPINGS LÄN</t>
        </is>
      </c>
      <c r="G91" t="inlineStr">
        <is>
          <t>VAGGERYD</t>
        </is>
      </c>
      <c r="H91" t="inlineStr">
        <is>
          <t>Sveaskog</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23270-2025</t>
        </is>
      </c>
      <c r="B92" t="inlineStr">
        <is>
          <t>avverkningsanmälan</t>
        </is>
      </c>
      <c r="C92" t="inlineStr">
        <is>
          <t>Avverkning för att bevara och utveckla /försöksver</t>
        </is>
      </c>
      <c r="D92" s="1" t="n">
        <v>45791</v>
      </c>
      <c r="E92" s="1" t="n">
        <v>46289</v>
      </c>
      <c r="F92" t="inlineStr">
        <is>
          <t>JÖNKÖPINGS LÄN</t>
        </is>
      </c>
      <c r="G92" t="inlineStr">
        <is>
          <t>VAGGERYD</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33638-2022</t>
        </is>
      </c>
      <c r="B93" t="inlineStr">
        <is>
          <t>avverkningsanmälan</t>
        </is>
      </c>
      <c r="C93" t="inlineStr">
        <is>
          <t>Föryngringsavverkning</t>
        </is>
      </c>
      <c r="D93" s="1" t="n">
        <v>44789</v>
      </c>
      <c r="E93" s="1" t="n">
        <v>46289</v>
      </c>
      <c r="F93" t="inlineStr">
        <is>
          <t>JÖNKÖPINGS LÄN</t>
        </is>
      </c>
      <c r="G93" t="inlineStr">
        <is>
          <t>VAGGERYD</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67942-2021</t>
        </is>
      </c>
      <c r="B94" t="inlineStr">
        <is>
          <t>avverkningsanmälan</t>
        </is>
      </c>
      <c r="C94" t="inlineStr">
        <is>
          <t>Föryngringsavverkning</t>
        </is>
      </c>
      <c r="D94" s="1" t="n">
        <v>44525</v>
      </c>
      <c r="E94" s="1" t="n">
        <v>46289</v>
      </c>
      <c r="F94" t="inlineStr">
        <is>
          <t>JÖNKÖPINGS LÄN</t>
        </is>
      </c>
      <c r="G94" t="inlineStr">
        <is>
          <t>VAGGERYD</t>
        </is>
      </c>
      <c r="H94" t="inlineStr">
        <is>
          <t>Sveaskog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10590-2023</t>
        </is>
      </c>
      <c r="B95" t="inlineStr">
        <is>
          <t>avverkningsanmälan</t>
        </is>
      </c>
      <c r="C95" t="inlineStr">
        <is>
          <t>Föryngringsavverkning</t>
        </is>
      </c>
      <c r="D95" s="1" t="n">
        <v>44988</v>
      </c>
      <c r="E95" s="1" t="n">
        <v>46289</v>
      </c>
      <c r="F95" t="inlineStr">
        <is>
          <t>JÖNKÖPINGS LÄN</t>
        </is>
      </c>
      <c r="G95" t="inlineStr">
        <is>
          <t>VAGGERYD</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53356-2022</t>
        </is>
      </c>
      <c r="B96" t="inlineStr">
        <is>
          <t>avverkningsanmälan</t>
        </is>
      </c>
      <c r="C96" t="inlineStr">
        <is>
          <t>Föryngringsavverkning</t>
        </is>
      </c>
      <c r="D96" s="1" t="n">
        <v>44879</v>
      </c>
      <c r="E96" s="1" t="n">
        <v>46289</v>
      </c>
      <c r="F96" t="inlineStr">
        <is>
          <t>JÖNKÖPINGS LÄN</t>
        </is>
      </c>
      <c r="G96" t="inlineStr">
        <is>
          <t>VAGGERYD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22295-2023</t>
        </is>
      </c>
      <c r="B97" t="inlineStr">
        <is>
          <t>avverkningsanmälan</t>
        </is>
      </c>
      <c r="C97" t="inlineStr">
        <is>
          <t>Föryngringsavverkning</t>
        </is>
      </c>
      <c r="D97" s="1" t="n">
        <v>45070</v>
      </c>
      <c r="E97" s="1" t="n">
        <v>46289</v>
      </c>
      <c r="F97" t="inlineStr">
        <is>
          <t>JÖNKÖPINGS LÄN</t>
        </is>
      </c>
      <c r="G97" t="inlineStr">
        <is>
          <t>VAGGERYD</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16091-2025</t>
        </is>
      </c>
      <c r="B98" t="inlineStr">
        <is>
          <t>avverkningsanmälan</t>
        </is>
      </c>
      <c r="C98" t="inlineStr">
        <is>
          <t>Föryngringsavverkning</t>
        </is>
      </c>
      <c r="D98" s="1" t="n">
        <v>45749</v>
      </c>
      <c r="E98" s="1" t="n">
        <v>46289</v>
      </c>
      <c r="F98" t="inlineStr">
        <is>
          <t>JÖNKÖPINGS LÄN</t>
        </is>
      </c>
      <c r="G98" t="inlineStr">
        <is>
          <t>VAGGERYD</t>
        </is>
      </c>
      <c r="H98" t="inlineStr">
        <is>
          <t>Sveaskog</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23688-2023</t>
        </is>
      </c>
      <c r="B99" t="inlineStr">
        <is>
          <t>avverkningsanmälan</t>
        </is>
      </c>
      <c r="C99" t="inlineStr">
        <is>
          <t>Föryngringsavverkning</t>
        </is>
      </c>
      <c r="D99" s="1" t="n">
        <v>45077</v>
      </c>
      <c r="E99" s="1" t="n">
        <v>46289</v>
      </c>
      <c r="F99" t="inlineStr">
        <is>
          <t>JÖNKÖPINGS LÄN</t>
        </is>
      </c>
      <c r="G99" t="inlineStr">
        <is>
          <t>VAGGERYD</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11103-2024</t>
        </is>
      </c>
      <c r="B100" t="inlineStr">
        <is>
          <t>avverkningsanmälan</t>
        </is>
      </c>
      <c r="C100" t="inlineStr">
        <is>
          <t>Avverkning för annat ändamål</t>
        </is>
      </c>
      <c r="D100" s="1" t="n">
        <v>45371</v>
      </c>
      <c r="E100" s="1" t="n">
        <v>46289</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11105-2024</t>
        </is>
      </c>
      <c r="B101" t="inlineStr">
        <is>
          <t>avverkningsanmälan</t>
        </is>
      </c>
      <c r="C101" t="inlineStr">
        <is>
          <t>Föryngringsavverkning</t>
        </is>
      </c>
      <c r="D101" s="1" t="n">
        <v>45371</v>
      </c>
      <c r="E101" s="1" t="n">
        <v>46289</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20056-2024</t>
        </is>
      </c>
      <c r="B102" t="inlineStr">
        <is>
          <t>avverkningsanmälan</t>
        </is>
      </c>
      <c r="C102" t="inlineStr">
        <is>
          <t>Föryngringsavverkning</t>
        </is>
      </c>
      <c r="D102" s="1" t="n">
        <v>45434</v>
      </c>
      <c r="E102" s="1" t="n">
        <v>46289</v>
      </c>
      <c r="F102" t="inlineStr">
        <is>
          <t>JÖNKÖPINGS LÄN</t>
        </is>
      </c>
      <c r="G102" t="inlineStr">
        <is>
          <t>VAGGERYD</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15140-2023</t>
        </is>
      </c>
      <c r="B103" t="inlineStr">
        <is>
          <t>avverkningsanmälan</t>
        </is>
      </c>
      <c r="C103" t="inlineStr">
        <is>
          <t>Avverkning för annat ändamål</t>
        </is>
      </c>
      <c r="D103" s="1" t="n">
        <v>45015</v>
      </c>
      <c r="E103" s="1" t="n">
        <v>46289</v>
      </c>
      <c r="F103" t="inlineStr">
        <is>
          <t>JÖNKÖPINGS LÄN</t>
        </is>
      </c>
      <c r="G103" t="inlineStr">
        <is>
          <t>VAGGERYD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60309-2022</t>
        </is>
      </c>
      <c r="B104" t="inlineStr">
        <is>
          <t>avverkningsanmälan</t>
        </is>
      </c>
      <c r="C104" t="inlineStr">
        <is>
          <t>Föryngringsavverkning</t>
        </is>
      </c>
      <c r="D104" s="1" t="n">
        <v>44910</v>
      </c>
      <c r="E104" s="1" t="n">
        <v>46289</v>
      </c>
      <c r="F104" t="inlineStr">
        <is>
          <t>JÖNKÖPINGS LÄN</t>
        </is>
      </c>
      <c r="G104" t="inlineStr">
        <is>
          <t>VAGGERYD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62343-2022</t>
        </is>
      </c>
      <c r="B105" t="inlineStr">
        <is>
          <t>avverkningsanmälan</t>
        </is>
      </c>
      <c r="C105" t="inlineStr">
        <is>
          <t>Föryngringsavverkning</t>
        </is>
      </c>
      <c r="D105" s="1" t="n">
        <v>44916</v>
      </c>
      <c r="E105" s="1" t="n">
        <v>46289</v>
      </c>
      <c r="F105" t="inlineStr">
        <is>
          <t>JÖNKÖPINGS LÄN</t>
        </is>
      </c>
      <c r="G105" t="inlineStr">
        <is>
          <t>VAGGERYD</t>
        </is>
      </c>
      <c r="H105" t="inlineStr">
        <is>
          <t>Övriga Aktiebolag</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49885-2023</t>
        </is>
      </c>
      <c r="B106" t="inlineStr">
        <is>
          <t>avverkningsanmälan</t>
        </is>
      </c>
      <c r="C106" t="inlineStr">
        <is>
          <t>Föryngringsavverkning</t>
        </is>
      </c>
      <c r="D106" s="1" t="n">
        <v>45213</v>
      </c>
      <c r="E106" s="1" t="n">
        <v>46289</v>
      </c>
      <c r="F106" t="inlineStr">
        <is>
          <t>JÖNKÖPINGS LÄN</t>
        </is>
      </c>
      <c r="G106" t="inlineStr">
        <is>
          <t>VAGGERYD</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15946-2025</t>
        </is>
      </c>
      <c r="B107" t="inlineStr">
        <is>
          <t>avverkningsanmälan</t>
        </is>
      </c>
      <c r="C107" t="inlineStr">
        <is>
          <t>Föryngringsavverkning</t>
        </is>
      </c>
      <c r="D107" s="1" t="n">
        <v>45749</v>
      </c>
      <c r="E107" s="1" t="n">
        <v>46289</v>
      </c>
      <c r="F107" t="inlineStr">
        <is>
          <t>JÖNKÖPINGS LÄN</t>
        </is>
      </c>
      <c r="G107" t="inlineStr">
        <is>
          <t>VAGGERYD</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58928-2023</t>
        </is>
      </c>
      <c r="B108" t="inlineStr">
        <is>
          <t>avverkningsanmälan</t>
        </is>
      </c>
      <c r="C108" t="inlineStr">
        <is>
          <t>Föryngringsavverkning</t>
        </is>
      </c>
      <c r="D108" s="1" t="n">
        <v>45252</v>
      </c>
      <c r="E108" s="1" t="n">
        <v>46289</v>
      </c>
      <c r="F108" t="inlineStr">
        <is>
          <t>JÖNKÖPINGS LÄN</t>
        </is>
      </c>
      <c r="G108" t="inlineStr">
        <is>
          <t>VAGGERYD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12456-2023</t>
        </is>
      </c>
      <c r="B109" t="inlineStr">
        <is>
          <t>avverkningsanmälan</t>
        </is>
      </c>
      <c r="C109" t="inlineStr">
        <is>
          <t>Föryngringsavverkning</t>
        </is>
      </c>
      <c r="D109" s="1" t="n">
        <v>44999</v>
      </c>
      <c r="E109" s="1" t="n">
        <v>46289</v>
      </c>
      <c r="F109" t="inlineStr">
        <is>
          <t>JÖNKÖPINGS LÄN</t>
        </is>
      </c>
      <c r="G109" t="inlineStr">
        <is>
          <t>VAGGERYD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766-2024</t>
        </is>
      </c>
      <c r="B110" t="inlineStr">
        <is>
          <t>avverkningsanmälan</t>
        </is>
      </c>
      <c r="C110" t="inlineStr">
        <is>
          <t>Föryngringsavverkning</t>
        </is>
      </c>
      <c r="D110" s="1" t="n">
        <v>45300</v>
      </c>
      <c r="E110" s="1" t="n">
        <v>46289</v>
      </c>
      <c r="F110" t="inlineStr">
        <is>
          <t>JÖNKÖPINGS LÄN</t>
        </is>
      </c>
      <c r="G110" t="inlineStr">
        <is>
          <t>VAGGERYD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21410-2024</t>
        </is>
      </c>
      <c r="B111" t="inlineStr">
        <is>
          <t>avverkningsanmälan</t>
        </is>
      </c>
      <c r="C111" t="inlineStr">
        <is>
          <t>Föryngringsavverkning</t>
        </is>
      </c>
      <c r="D111" s="1" t="n">
        <v>45441</v>
      </c>
      <c r="E111" s="1" t="n">
        <v>46289</v>
      </c>
      <c r="F111" t="inlineStr">
        <is>
          <t>JÖNKÖPINGS LÄN</t>
        </is>
      </c>
      <c r="G111" t="inlineStr">
        <is>
          <t>VAGGERYD</t>
        </is>
      </c>
      <c r="I111" t="n">
        <v>9.5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60302-2022</t>
        </is>
      </c>
      <c r="B112" t="inlineStr">
        <is>
          <t>avverkningsanmälan</t>
        </is>
      </c>
      <c r="C112" t="inlineStr">
        <is>
          <t>Avverkning för att bevara och utveckla /försöksver</t>
        </is>
      </c>
      <c r="D112" s="1" t="n">
        <v>44910</v>
      </c>
      <c r="E112" s="1" t="n">
        <v>46289</v>
      </c>
      <c r="F112" t="inlineStr">
        <is>
          <t>JÖNKÖPINGS LÄN</t>
        </is>
      </c>
      <c r="G112" t="inlineStr">
        <is>
          <t>VAGGERYD</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51944-2022</t>
        </is>
      </c>
      <c r="B113" t="inlineStr">
        <is>
          <t>avverkningsanmälan</t>
        </is>
      </c>
      <c r="C113" t="inlineStr">
        <is>
          <t>Föryngringsavverkning</t>
        </is>
      </c>
      <c r="D113" s="1" t="n">
        <v>44868</v>
      </c>
      <c r="E113" s="1" t="n">
        <v>46289</v>
      </c>
      <c r="F113" t="inlineStr">
        <is>
          <t>JÖNKÖPINGS LÄN</t>
        </is>
      </c>
      <c r="G113" t="inlineStr">
        <is>
          <t>VAGGERYD</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27214-2023</t>
        </is>
      </c>
      <c r="B114" t="inlineStr">
        <is>
          <t>avverkningsanmälan</t>
        </is>
      </c>
      <c r="C114" t="inlineStr">
        <is>
          <t>Föryngringsavverkning</t>
        </is>
      </c>
      <c r="D114" s="1" t="n">
        <v>45096</v>
      </c>
      <c r="E114" s="1" t="n">
        <v>46289</v>
      </c>
      <c r="F114" t="inlineStr">
        <is>
          <t>JÖNKÖPINGS LÄN</t>
        </is>
      </c>
      <c r="G114" t="inlineStr">
        <is>
          <t>VAGGERYD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58111-2022</t>
        </is>
      </c>
      <c r="B115" t="inlineStr">
        <is>
          <t>avverkningsanmälan</t>
        </is>
      </c>
      <c r="C115" t="inlineStr">
        <is>
          <t>Föryngringsavverkning</t>
        </is>
      </c>
      <c r="D115" s="1" t="n">
        <v>44900</v>
      </c>
      <c r="E115" s="1" t="n">
        <v>46289</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5489-2023</t>
        </is>
      </c>
      <c r="B116" t="inlineStr">
        <is>
          <t>avverkningsanmälan</t>
        </is>
      </c>
      <c r="C116" t="inlineStr">
        <is>
          <t>Avverkning för annat ändamål</t>
        </is>
      </c>
      <c r="D116" s="1" t="n">
        <v>44960</v>
      </c>
      <c r="E116" s="1" t="n">
        <v>46289</v>
      </c>
      <c r="F116" t="inlineStr">
        <is>
          <t>JÖNKÖPINGS LÄN</t>
        </is>
      </c>
      <c r="G116" t="inlineStr">
        <is>
          <t>VAGGERYD</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25625-2024</t>
        </is>
      </c>
      <c r="B117" t="inlineStr">
        <is>
          <t>avverkningsanmälan</t>
        </is>
      </c>
      <c r="C117" t="inlineStr">
        <is>
          <t>Föryngringsavverkning</t>
        </is>
      </c>
      <c r="D117" s="1" t="n">
        <v>45463</v>
      </c>
      <c r="E117" s="1" t="n">
        <v>46289</v>
      </c>
      <c r="F117" t="inlineStr">
        <is>
          <t>JÖNKÖPINGS LÄN</t>
        </is>
      </c>
      <c r="G117" t="inlineStr">
        <is>
          <t>VAGGERYD</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25120-2025</t>
        </is>
      </c>
      <c r="B118" t="inlineStr">
        <is>
          <t>avverkningsanmälan</t>
        </is>
      </c>
      <c r="C118" t="inlineStr">
        <is>
          <t>Föryngringsavverkning</t>
        </is>
      </c>
      <c r="D118" s="1" t="n">
        <v>45798</v>
      </c>
      <c r="E118" s="1" t="n">
        <v>46289</v>
      </c>
      <c r="F118" t="inlineStr">
        <is>
          <t>JÖNKÖPINGS LÄN</t>
        </is>
      </c>
      <c r="G118" t="inlineStr">
        <is>
          <t>VAGGERYD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33613-2025</t>
        </is>
      </c>
      <c r="B119" t="inlineStr">
        <is>
          <t>avverkningsanmälan</t>
        </is>
      </c>
      <c r="C119" t="inlineStr">
        <is>
          <t>Föryngringsavverkning</t>
        </is>
      </c>
      <c r="D119" s="1" t="n">
        <v>45841</v>
      </c>
      <c r="E119" s="1" t="n">
        <v>46289</v>
      </c>
      <c r="F119" t="inlineStr">
        <is>
          <t>JÖNKÖPINGS LÄN</t>
        </is>
      </c>
      <c r="G119" t="inlineStr">
        <is>
          <t>VAGGERYD</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52454-2024</t>
        </is>
      </c>
      <c r="B120" t="inlineStr">
        <is>
          <t>avverkningsanmälan</t>
        </is>
      </c>
      <c r="C120" t="inlineStr">
        <is>
          <t>Föryngringsavverkning</t>
        </is>
      </c>
      <c r="D120" s="1" t="n">
        <v>45609</v>
      </c>
      <c r="E120" s="1" t="n">
        <v>46289</v>
      </c>
      <c r="F120" t="inlineStr">
        <is>
          <t>JÖNKÖPINGS LÄN</t>
        </is>
      </c>
      <c r="G120" t="inlineStr">
        <is>
          <t>VAGGERYD</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71173-2021</t>
        </is>
      </c>
      <c r="B121" t="inlineStr">
        <is>
          <t>avverkningsanmälan</t>
        </is>
      </c>
      <c r="C121" t="inlineStr">
        <is>
          <t>Föryngringsavverkning</t>
        </is>
      </c>
      <c r="D121" s="1" t="n">
        <v>44539</v>
      </c>
      <c r="E121" s="1" t="n">
        <v>46289</v>
      </c>
      <c r="F121" t="inlineStr">
        <is>
          <t>JÖNKÖPINGS LÄN</t>
        </is>
      </c>
      <c r="G121" t="inlineStr">
        <is>
          <t>VAGGERYD</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71182-2021</t>
        </is>
      </c>
      <c r="B122" t="inlineStr">
        <is>
          <t>avverkningsanmälan</t>
        </is>
      </c>
      <c r="C122" t="inlineStr">
        <is>
          <t>Föryngringsavverkning</t>
        </is>
      </c>
      <c r="D122" s="1" t="n">
        <v>44539</v>
      </c>
      <c r="E122" s="1" t="n">
        <v>46289</v>
      </c>
      <c r="F122" t="inlineStr">
        <is>
          <t>JÖNKÖPINGS LÄN</t>
        </is>
      </c>
      <c r="G122" t="inlineStr">
        <is>
          <t>VAGGERYD</t>
        </is>
      </c>
      <c r="H122" t="inlineStr">
        <is>
          <t>Sveaskog</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27427-2023</t>
        </is>
      </c>
      <c r="B123" t="inlineStr">
        <is>
          <t>avverkningsanmälan</t>
        </is>
      </c>
      <c r="C123" t="inlineStr">
        <is>
          <t>Avverkning för annat ändamål</t>
        </is>
      </c>
      <c r="D123" s="1" t="n">
        <v>45097</v>
      </c>
      <c r="E123" s="1" t="n">
        <v>46289</v>
      </c>
      <c r="F123" t="inlineStr">
        <is>
          <t>JÖNKÖPINGS LÄN</t>
        </is>
      </c>
      <c r="G123" t="inlineStr">
        <is>
          <t>VAGGERYD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58756-2022</t>
        </is>
      </c>
      <c r="B124" t="inlineStr">
        <is>
          <t>avverkningsanmälan</t>
        </is>
      </c>
      <c r="C124" t="inlineStr">
        <is>
          <t>Föryngringsavverkning</t>
        </is>
      </c>
      <c r="D124" s="1" t="n">
        <v>44903</v>
      </c>
      <c r="E124" s="1" t="n">
        <v>46289</v>
      </c>
      <c r="F124" t="inlineStr">
        <is>
          <t>JÖNKÖPINGS LÄN</t>
        </is>
      </c>
      <c r="G124" t="inlineStr">
        <is>
          <t>VAGGERYD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18250-2023</t>
        </is>
      </c>
      <c r="B125" t="inlineStr">
        <is>
          <t>avverkningsanmälan</t>
        </is>
      </c>
      <c r="C125" t="inlineStr">
        <is>
          <t>Föryngringsavverkning</t>
        </is>
      </c>
      <c r="D125" s="1" t="n">
        <v>45040</v>
      </c>
      <c r="E125" s="1" t="n">
        <v>46289</v>
      </c>
      <c r="F125" t="inlineStr">
        <is>
          <t>JÖNKÖPINGS LÄN</t>
        </is>
      </c>
      <c r="G125" t="inlineStr">
        <is>
          <t>VAGGERYD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53072-2021</t>
        </is>
      </c>
      <c r="B126" t="inlineStr">
        <is>
          <t>avverkningsanmälan</t>
        </is>
      </c>
      <c r="C126" t="inlineStr">
        <is>
          <t>Föryngringsavverkning</t>
        </is>
      </c>
      <c r="D126" s="1" t="n">
        <v>44467</v>
      </c>
      <c r="E126" s="1" t="n">
        <v>46289</v>
      </c>
      <c r="F126" t="inlineStr">
        <is>
          <t>JÖNKÖPINGS LÄN</t>
        </is>
      </c>
      <c r="G126" t="inlineStr">
        <is>
          <t>VAGGERYD</t>
        </is>
      </c>
      <c r="I126" t="n">
        <v>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22742-2024</t>
        </is>
      </c>
      <c r="B127" t="inlineStr">
        <is>
          <t>avverkningsanmälan</t>
        </is>
      </c>
      <c r="C127" t="inlineStr">
        <is>
          <t>Föryngringsavverkning</t>
        </is>
      </c>
      <c r="D127" s="1" t="n">
        <v>45448</v>
      </c>
      <c r="E127" s="1" t="n">
        <v>46289</v>
      </c>
      <c r="F127" t="inlineStr">
        <is>
          <t>JÖNKÖPINGS LÄN</t>
        </is>
      </c>
      <c r="G127" t="inlineStr">
        <is>
          <t>VAGGERYD</t>
        </is>
      </c>
      <c r="I127" t="n">
        <v>9.5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5318-2024</t>
        </is>
      </c>
      <c r="B128" t="inlineStr">
        <is>
          <t>avverkningsanmälan</t>
        </is>
      </c>
      <c r="C128" t="inlineStr">
        <is>
          <t>Föryngringsavverkning</t>
        </is>
      </c>
      <c r="D128" s="1" t="n">
        <v>45330</v>
      </c>
      <c r="E128" s="1" t="n">
        <v>46289</v>
      </c>
      <c r="F128" t="inlineStr">
        <is>
          <t>JÖNKÖPINGS LÄN</t>
        </is>
      </c>
      <c r="G128" t="inlineStr">
        <is>
          <t>VAGGERYD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5319-2024</t>
        </is>
      </c>
      <c r="B129" t="inlineStr">
        <is>
          <t>avverkningsanmälan</t>
        </is>
      </c>
      <c r="C129" t="inlineStr">
        <is>
          <t>Föryngringsavverkning</t>
        </is>
      </c>
      <c r="D129" s="1" t="n">
        <v>45330</v>
      </c>
      <c r="E129" s="1" t="n">
        <v>46289</v>
      </c>
      <c r="F129" t="inlineStr">
        <is>
          <t>JÖNKÖPINGS LÄN</t>
        </is>
      </c>
      <c r="G129" t="inlineStr">
        <is>
          <t>VAGGERYD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19793-2023</t>
        </is>
      </c>
      <c r="B130" t="inlineStr">
        <is>
          <t>avverkningsanmälan</t>
        </is>
      </c>
      <c r="C130" t="inlineStr">
        <is>
          <t>Föryngringsavverkning</t>
        </is>
      </c>
      <c r="D130" s="1" t="n">
        <v>45051</v>
      </c>
      <c r="E130" s="1" t="n">
        <v>46289</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41624-2025</t>
        </is>
      </c>
      <c r="B131" t="inlineStr">
        <is>
          <t>avverkningsanmälan</t>
        </is>
      </c>
      <c r="C131" t="inlineStr">
        <is>
          <t>Föryngringsavverkning</t>
        </is>
      </c>
      <c r="D131" s="1" t="n">
        <v>45901</v>
      </c>
      <c r="E131" s="1" t="n">
        <v>46289</v>
      </c>
      <c r="F131" t="inlineStr">
        <is>
          <t>JÖNKÖPINGS LÄN</t>
        </is>
      </c>
      <c r="G131" t="inlineStr">
        <is>
          <t>VAGGERYD</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42830-2023</t>
        </is>
      </c>
      <c r="B132" t="inlineStr">
        <is>
          <t>avverkningsanmälan</t>
        </is>
      </c>
      <c r="C132" t="inlineStr">
        <is>
          <t>Föryngringsavverkning</t>
        </is>
      </c>
      <c r="D132" s="1" t="n">
        <v>45182</v>
      </c>
      <c r="E132" s="1" t="n">
        <v>46289</v>
      </c>
      <c r="F132" t="inlineStr">
        <is>
          <t>JÖNKÖPINGS LÄN</t>
        </is>
      </c>
      <c r="G132" t="inlineStr">
        <is>
          <t>VAGGERYD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41956-2024</t>
        </is>
      </c>
      <c r="B133" t="inlineStr">
        <is>
          <t>avverkningsanmälan</t>
        </is>
      </c>
      <c r="C133" t="inlineStr">
        <is>
          <t>Föryngringsavverkning</t>
        </is>
      </c>
      <c r="D133" s="1" t="n">
        <v>45561</v>
      </c>
      <c r="E133" s="1" t="n">
        <v>46289</v>
      </c>
      <c r="F133" t="inlineStr">
        <is>
          <t>JÖNKÖPINGS LÄN</t>
        </is>
      </c>
      <c r="G133" t="inlineStr">
        <is>
          <t>VAGGERYD</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6637-2023</t>
        </is>
      </c>
      <c r="B134" t="inlineStr">
        <is>
          <t>avverkningsanmälan</t>
        </is>
      </c>
      <c r="C134" t="inlineStr">
        <is>
          <t>Föryngringsavverkning</t>
        </is>
      </c>
      <c r="D134" s="1" t="n">
        <v>44966</v>
      </c>
      <c r="E134" s="1" t="n">
        <v>46289</v>
      </c>
      <c r="F134" t="inlineStr">
        <is>
          <t>JÖNKÖPINGS LÄN</t>
        </is>
      </c>
      <c r="G134" t="inlineStr">
        <is>
          <t>VAGGERYD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6641-2023</t>
        </is>
      </c>
      <c r="B135" t="inlineStr">
        <is>
          <t>avverkningsanmälan</t>
        </is>
      </c>
      <c r="C135" t="inlineStr">
        <is>
          <t>Föryngringsavverkning</t>
        </is>
      </c>
      <c r="D135" s="1" t="n">
        <v>44966</v>
      </c>
      <c r="E135" s="1" t="n">
        <v>46289</v>
      </c>
      <c r="F135" t="inlineStr">
        <is>
          <t>JÖNKÖPINGS LÄN</t>
        </is>
      </c>
      <c r="G135" t="inlineStr">
        <is>
          <t>VAGGERYD</t>
        </is>
      </c>
      <c r="H135" t="inlineStr">
        <is>
          <t>Sveaskog</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6644-2023</t>
        </is>
      </c>
      <c r="B136" t="inlineStr">
        <is>
          <t>avverkningsanmälan</t>
        </is>
      </c>
      <c r="C136" t="inlineStr">
        <is>
          <t>Avverkning för att bevara och utveckla /försöksver</t>
        </is>
      </c>
      <c r="D136" s="1" t="n">
        <v>44966</v>
      </c>
      <c r="E136" s="1" t="n">
        <v>46289</v>
      </c>
      <c r="F136" t="inlineStr">
        <is>
          <t>JÖNKÖPINGS LÄN</t>
        </is>
      </c>
      <c r="G136" t="inlineStr">
        <is>
          <t>VAGGERYD</t>
        </is>
      </c>
      <c r="H136" t="inlineStr">
        <is>
          <t>Sveaskog</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25925-2025</t>
        </is>
      </c>
      <c r="B137" t="inlineStr">
        <is>
          <t>avverkningsanmälan</t>
        </is>
      </c>
      <c r="C137" t="inlineStr">
        <is>
          <t>Föryngringsavverkning</t>
        </is>
      </c>
      <c r="D137" s="1" t="n">
        <v>45804</v>
      </c>
      <c r="E137" s="1" t="n">
        <v>46289</v>
      </c>
      <c r="F137" t="inlineStr">
        <is>
          <t>JÖNKÖPINGS LÄN</t>
        </is>
      </c>
      <c r="G137" t="inlineStr">
        <is>
          <t>VAGGERYD</t>
        </is>
      </c>
      <c r="H137" t="inlineStr">
        <is>
          <t>Kyrkan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6846-2024</t>
        </is>
      </c>
      <c r="B138" t="inlineStr">
        <is>
          <t>avverkningsanmälan</t>
        </is>
      </c>
      <c r="C138" t="inlineStr">
        <is>
          <t>Föryngringsavverkning</t>
        </is>
      </c>
      <c r="D138" s="1" t="n">
        <v>45342</v>
      </c>
      <c r="E138" s="1" t="n">
        <v>46289</v>
      </c>
      <c r="F138" t="inlineStr">
        <is>
          <t>JÖNKÖPINGS LÄN</t>
        </is>
      </c>
      <c r="G138" t="inlineStr">
        <is>
          <t>VAGGERYD</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63690-2023</t>
        </is>
      </c>
      <c r="B139" t="inlineStr">
        <is>
          <t>avverkningsanmälan</t>
        </is>
      </c>
      <c r="C139" t="inlineStr">
        <is>
          <t>Föryngringsavverkning</t>
        </is>
      </c>
      <c r="D139" s="1" t="n">
        <v>45275</v>
      </c>
      <c r="E139" s="1" t="n">
        <v>46289</v>
      </c>
      <c r="F139" t="inlineStr">
        <is>
          <t>JÖNKÖPINGS LÄN</t>
        </is>
      </c>
      <c r="G139" t="inlineStr">
        <is>
          <t>VAGGERYD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71512-2021</t>
        </is>
      </c>
      <c r="B140" t="inlineStr">
        <is>
          <t>avverkningsanmälan</t>
        </is>
      </c>
      <c r="C140" t="inlineStr">
        <is>
          <t>Föryngringsavverkning</t>
        </is>
      </c>
      <c r="D140" s="1" t="n">
        <v>44540</v>
      </c>
      <c r="E140" s="1" t="n">
        <v>46289</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58836-2022</t>
        </is>
      </c>
      <c r="B141" t="inlineStr">
        <is>
          <t>avverkningsanmälan</t>
        </is>
      </c>
      <c r="C141" t="inlineStr">
        <is>
          <t>Föryngringsavverkning</t>
        </is>
      </c>
      <c r="D141" s="1" t="n">
        <v>44903</v>
      </c>
      <c r="E141" s="1" t="n">
        <v>46289</v>
      </c>
      <c r="F141" t="inlineStr">
        <is>
          <t>JÖNKÖPINGS LÄN</t>
        </is>
      </c>
      <c r="G141" t="inlineStr">
        <is>
          <t>VAGGERYD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18519-2025</t>
        </is>
      </c>
      <c r="B142" t="inlineStr">
        <is>
          <t>avverkningsanmälan</t>
        </is>
      </c>
      <c r="C142" t="inlineStr">
        <is>
          <t>Föryngringsavverkning</t>
        </is>
      </c>
      <c r="D142" s="1" t="n">
        <v>45763</v>
      </c>
      <c r="E142" s="1" t="n">
        <v>46289</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43261-2025</t>
        </is>
      </c>
      <c r="B143" t="inlineStr">
        <is>
          <t>avverkningsanmälan</t>
        </is>
      </c>
      <c r="C143" t="inlineStr">
        <is>
          <t>Föryngringsavverkning</t>
        </is>
      </c>
      <c r="D143" s="1" t="n">
        <v>45910</v>
      </c>
      <c r="E143" s="1" t="n">
        <v>46289</v>
      </c>
      <c r="F143" t="inlineStr">
        <is>
          <t>JÖNKÖPINGS LÄN</t>
        </is>
      </c>
      <c r="G143" t="inlineStr">
        <is>
          <t>VAGGERYD</t>
        </is>
      </c>
      <c r="I143" t="n">
        <v>6.5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1162-2023</t>
        </is>
      </c>
      <c r="B144" t="inlineStr">
        <is>
          <t>avverkningsanmälan</t>
        </is>
      </c>
      <c r="C144" t="inlineStr">
        <is>
          <t>Föryngringsavverkning</t>
        </is>
      </c>
      <c r="D144" s="1" t="n">
        <v>44930</v>
      </c>
      <c r="E144" s="1" t="n">
        <v>46289</v>
      </c>
      <c r="F144" t="inlineStr">
        <is>
          <t>JÖNKÖPINGS LÄN</t>
        </is>
      </c>
      <c r="G144" t="inlineStr">
        <is>
          <t>VAGGERYD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35704-2024</t>
        </is>
      </c>
      <c r="B145" t="inlineStr">
        <is>
          <t>avverkningsanmälan</t>
        </is>
      </c>
      <c r="C145" t="inlineStr">
        <is>
          <t>Föryngringsavverkning</t>
        </is>
      </c>
      <c r="D145" s="1" t="n">
        <v>45532</v>
      </c>
      <c r="E145" s="1" t="n">
        <v>46289</v>
      </c>
      <c r="F145" t="inlineStr">
        <is>
          <t>JÖNKÖPINGS LÄN</t>
        </is>
      </c>
      <c r="G145" t="inlineStr">
        <is>
          <t>VAGGERYD</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25400-2025</t>
        </is>
      </c>
      <c r="B146" t="inlineStr">
        <is>
          <t>avverkningsanmälan</t>
        </is>
      </c>
      <c r="C146" t="inlineStr">
        <is>
          <t>Föryngringsavverkning</t>
        </is>
      </c>
      <c r="D146" s="1" t="n">
        <v>45799</v>
      </c>
      <c r="E146" s="1" t="n">
        <v>46289</v>
      </c>
      <c r="F146" t="inlineStr">
        <is>
          <t>JÖNKÖPINGS LÄN</t>
        </is>
      </c>
      <c r="G146" t="inlineStr">
        <is>
          <t>VAGGERYD</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36564-2023</t>
        </is>
      </c>
      <c r="B147" t="inlineStr">
        <is>
          <t>avverkningsanmälan</t>
        </is>
      </c>
      <c r="C147" t="inlineStr">
        <is>
          <t>Avverkning för annat ändamål</t>
        </is>
      </c>
      <c r="D147" s="1" t="n">
        <v>45152</v>
      </c>
      <c r="E147" s="1" t="n">
        <v>46289</v>
      </c>
      <c r="F147" t="inlineStr">
        <is>
          <t>JÖNKÖPINGS LÄN</t>
        </is>
      </c>
      <c r="G147" t="inlineStr">
        <is>
          <t>VAGGERYD</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36567-2023</t>
        </is>
      </c>
      <c r="B148" t="inlineStr">
        <is>
          <t>avverkningsanmälan</t>
        </is>
      </c>
      <c r="C148" t="inlineStr">
        <is>
          <t>Avverkning för annat ändamål</t>
        </is>
      </c>
      <c r="D148" s="1" t="n">
        <v>45152</v>
      </c>
      <c r="E148" s="1" t="n">
        <v>46289</v>
      </c>
      <c r="F148" t="inlineStr">
        <is>
          <t>JÖNKÖPINGS LÄN</t>
        </is>
      </c>
      <c r="G148" t="inlineStr">
        <is>
          <t>VAGGERYD</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47192-2024</t>
        </is>
      </c>
      <c r="B149" t="inlineStr">
        <is>
          <t>avverkningsanmälan</t>
        </is>
      </c>
      <c r="C149" t="inlineStr">
        <is>
          <t>Föryngringsavverkning</t>
        </is>
      </c>
      <c r="D149" s="1" t="n">
        <v>45586</v>
      </c>
      <c r="E149" s="1" t="n">
        <v>46289</v>
      </c>
      <c r="F149" t="inlineStr">
        <is>
          <t>JÖNKÖPINGS LÄN</t>
        </is>
      </c>
      <c r="G149" t="inlineStr">
        <is>
          <t>VAGGERYD</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39370-2023</t>
        </is>
      </c>
      <c r="B150" t="inlineStr">
        <is>
          <t>avverkningsanmälan</t>
        </is>
      </c>
      <c r="C150" t="inlineStr">
        <is>
          <t>Föryngringsavverkning</t>
        </is>
      </c>
      <c r="D150" s="1" t="n">
        <v>45162</v>
      </c>
      <c r="E150" s="1" t="n">
        <v>46289</v>
      </c>
      <c r="F150" t="inlineStr">
        <is>
          <t>JÖNKÖPINGS LÄN</t>
        </is>
      </c>
      <c r="G150" t="inlineStr">
        <is>
          <t>VAGGERYD</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26745-2024</t>
        </is>
      </c>
      <c r="B151" t="inlineStr">
        <is>
          <t>avverkningsanmälan</t>
        </is>
      </c>
      <c r="C151" t="inlineStr">
        <is>
          <t>Föryngringsavverkning</t>
        </is>
      </c>
      <c r="D151" s="1" t="n">
        <v>45470</v>
      </c>
      <c r="E151" s="1" t="n">
        <v>46289</v>
      </c>
      <c r="F151" t="inlineStr">
        <is>
          <t>JÖNKÖPINGS LÄN</t>
        </is>
      </c>
      <c r="G151" t="inlineStr">
        <is>
          <t>VAGGERYD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9065-2023</t>
        </is>
      </c>
      <c r="B152" t="inlineStr">
        <is>
          <t>avverkningsanmälan</t>
        </is>
      </c>
      <c r="C152" t="inlineStr">
        <is>
          <t>Föryngringsavverkning</t>
        </is>
      </c>
      <c r="D152" s="1" t="n">
        <v>44979</v>
      </c>
      <c r="E152" s="1" t="n">
        <v>46289</v>
      </c>
      <c r="F152" t="inlineStr">
        <is>
          <t>JÖNKÖPINGS LÄN</t>
        </is>
      </c>
      <c r="G152" t="inlineStr">
        <is>
          <t>VAGGERYD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57245-2022</t>
        </is>
      </c>
      <c r="B153" t="inlineStr">
        <is>
          <t>avverkningsanmälan</t>
        </is>
      </c>
      <c r="C153" t="inlineStr">
        <is>
          <t>Avverkning för annat ändamål</t>
        </is>
      </c>
      <c r="D153" s="1" t="n">
        <v>44895</v>
      </c>
      <c r="E153" s="1" t="n">
        <v>46289</v>
      </c>
      <c r="F153" t="inlineStr">
        <is>
          <t>JÖNKÖPINGS LÄN</t>
        </is>
      </c>
      <c r="G153" t="inlineStr">
        <is>
          <t>VAGGERYD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58593-2024</t>
        </is>
      </c>
      <c r="B154" t="inlineStr">
        <is>
          <t>avverkningsanmälan</t>
        </is>
      </c>
      <c r="C154" t="inlineStr">
        <is>
          <t>Föryngringsavverkning</t>
        </is>
      </c>
      <c r="D154" s="1" t="n">
        <v>45635</v>
      </c>
      <c r="E154" s="1" t="n">
        <v>46289</v>
      </c>
      <c r="F154" t="inlineStr">
        <is>
          <t>JÖNKÖPINGS LÄN</t>
        </is>
      </c>
      <c r="G154" t="inlineStr">
        <is>
          <t>VAGGERYD</t>
        </is>
      </c>
      <c r="H154" t="inlineStr">
        <is>
          <t>Sveaskog</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58607-2024</t>
        </is>
      </c>
      <c r="B155" t="inlineStr">
        <is>
          <t>avverkningsanmälan</t>
        </is>
      </c>
      <c r="C155" t="inlineStr">
        <is>
          <t>Föryngringsavverkning</t>
        </is>
      </c>
      <c r="D155" s="1" t="n">
        <v>45635</v>
      </c>
      <c r="E155" s="1" t="n">
        <v>46289</v>
      </c>
      <c r="F155" t="inlineStr">
        <is>
          <t>JÖNKÖPINGS LÄN</t>
        </is>
      </c>
      <c r="G155" t="inlineStr">
        <is>
          <t>VAGGERYD</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58622-2024</t>
        </is>
      </c>
      <c r="B156" t="inlineStr">
        <is>
          <t>avverkningsanmälan</t>
        </is>
      </c>
      <c r="C156" t="inlineStr">
        <is>
          <t>Föryngringsavverkning</t>
        </is>
      </c>
      <c r="D156" s="1" t="n">
        <v>45635</v>
      </c>
      <c r="E156" s="1" t="n">
        <v>46289</v>
      </c>
      <c r="F156" t="inlineStr">
        <is>
          <t>JÖNKÖPINGS LÄN</t>
        </is>
      </c>
      <c r="G156" t="inlineStr">
        <is>
          <t>VAGGERYD</t>
        </is>
      </c>
      <c r="H156" t="inlineStr">
        <is>
          <t>Sveaskog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28466-2024</t>
        </is>
      </c>
      <c r="B157" t="inlineStr">
        <is>
          <t>avverkningsanmälan</t>
        </is>
      </c>
      <c r="C157" t="inlineStr">
        <is>
          <t>Föryngringsavverkning</t>
        </is>
      </c>
      <c r="D157" s="1" t="n">
        <v>45477</v>
      </c>
      <c r="E157" s="1" t="n">
        <v>46289</v>
      </c>
      <c r="F157" t="inlineStr">
        <is>
          <t>JÖNKÖPINGS LÄN</t>
        </is>
      </c>
      <c r="G157" t="inlineStr">
        <is>
          <t>VAGGERYD</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28470-2024</t>
        </is>
      </c>
      <c r="B158" t="inlineStr">
        <is>
          <t>avverkningsanmälan</t>
        </is>
      </c>
      <c r="C158" t="inlineStr">
        <is>
          <t>Föryngringsavverkning</t>
        </is>
      </c>
      <c r="D158" s="1" t="n">
        <v>45477</v>
      </c>
      <c r="E158" s="1" t="n">
        <v>46289</v>
      </c>
      <c r="F158" t="inlineStr">
        <is>
          <t>JÖNKÖPINGS LÄN</t>
        </is>
      </c>
      <c r="G158" t="inlineStr">
        <is>
          <t>VAGGERYD</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10643-2023</t>
        </is>
      </c>
      <c r="B159" t="inlineStr">
        <is>
          <t>avverkningsanmälan</t>
        </is>
      </c>
      <c r="C159" t="inlineStr">
        <is>
          <t>Föryngringsavverkning</t>
        </is>
      </c>
      <c r="D159" s="1" t="n">
        <v>44988</v>
      </c>
      <c r="E159" s="1" t="n">
        <v>46289</v>
      </c>
      <c r="F159" t="inlineStr">
        <is>
          <t>JÖNKÖPINGS LÄN</t>
        </is>
      </c>
      <c r="G159" t="inlineStr">
        <is>
          <t>VAGGERYD</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31017-2024</t>
        </is>
      </c>
      <c r="B160" t="inlineStr">
        <is>
          <t>avverkningsanmälan</t>
        </is>
      </c>
      <c r="C160" t="inlineStr">
        <is>
          <t>Föryngringsavverkning</t>
        </is>
      </c>
      <c r="D160" s="1" t="n">
        <v>45499</v>
      </c>
      <c r="E160" s="1" t="n">
        <v>46289</v>
      </c>
      <c r="F160" t="inlineStr">
        <is>
          <t>JÖNKÖPINGS LÄN</t>
        </is>
      </c>
      <c r="G160" t="inlineStr">
        <is>
          <t>VAGGERYD</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45305-2025</t>
        </is>
      </c>
      <c r="B161" t="inlineStr">
        <is>
          <t>avverkningsanmälan</t>
        </is>
      </c>
      <c r="C161" t="inlineStr">
        <is>
          <t>Föryngringsavverkning</t>
        </is>
      </c>
      <c r="D161" s="1" t="n">
        <v>45921</v>
      </c>
      <c r="E161" s="1" t="n">
        <v>46289</v>
      </c>
      <c r="F161" t="inlineStr">
        <is>
          <t>JÖNKÖPINGS LÄN</t>
        </is>
      </c>
      <c r="G161" t="inlineStr">
        <is>
          <t>VAGGERYD</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45302-2025</t>
        </is>
      </c>
      <c r="B162" t="inlineStr">
        <is>
          <t>avverkningsanmälan</t>
        </is>
      </c>
      <c r="C162" t="inlineStr">
        <is>
          <t>Föryngringsavverkning</t>
        </is>
      </c>
      <c r="D162" s="1" t="n">
        <v>45921</v>
      </c>
      <c r="E162" s="1" t="n">
        <v>46289</v>
      </c>
      <c r="F162" t="inlineStr">
        <is>
          <t>JÖNKÖPINGS LÄN</t>
        </is>
      </c>
      <c r="G162" t="inlineStr">
        <is>
          <t>VAGGERYD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45303-2025</t>
        </is>
      </c>
      <c r="B163" t="inlineStr">
        <is>
          <t>avverkningsanmälan</t>
        </is>
      </c>
      <c r="C163" t="inlineStr">
        <is>
          <t>Föryngringsavverkning</t>
        </is>
      </c>
      <c r="D163" s="1" t="n">
        <v>45921</v>
      </c>
      <c r="E163" s="1" t="n">
        <v>46289</v>
      </c>
      <c r="F163" t="inlineStr">
        <is>
          <t>JÖNKÖPINGS LÄN</t>
        </is>
      </c>
      <c r="G163" t="inlineStr">
        <is>
          <t>VAGGERYD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45304-2025</t>
        </is>
      </c>
      <c r="B164" t="inlineStr">
        <is>
          <t>avverkningsanmälan</t>
        </is>
      </c>
      <c r="C164" t="inlineStr">
        <is>
          <t>Föryngringsavverkning</t>
        </is>
      </c>
      <c r="D164" s="1" t="n">
        <v>45921</v>
      </c>
      <c r="E164" s="1" t="n">
        <v>46289</v>
      </c>
      <c r="F164" t="inlineStr">
        <is>
          <t>JÖNKÖPINGS LÄN</t>
        </is>
      </c>
      <c r="G164" t="inlineStr">
        <is>
          <t>VAGGERYD</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14396-2023</t>
        </is>
      </c>
      <c r="B165" t="inlineStr">
        <is>
          <t>avverkningsanmälan</t>
        </is>
      </c>
      <c r="C165" t="inlineStr">
        <is>
          <t>Föryngringsavverkning</t>
        </is>
      </c>
      <c r="D165" s="1" t="n">
        <v>45012</v>
      </c>
      <c r="E165" s="1" t="n">
        <v>46289</v>
      </c>
      <c r="F165" t="inlineStr">
        <is>
          <t>JÖNKÖPINGS LÄN</t>
        </is>
      </c>
      <c r="G165" t="inlineStr">
        <is>
          <t>VAGGERYD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58797-2023</t>
        </is>
      </c>
      <c r="B166" t="inlineStr">
        <is>
          <t>avverkningsanmälan</t>
        </is>
      </c>
      <c r="C166" t="inlineStr">
        <is>
          <t>Föryngringsavverkning</t>
        </is>
      </c>
      <c r="D166" s="1" t="n">
        <v>45247</v>
      </c>
      <c r="E166" s="1" t="n">
        <v>46289</v>
      </c>
      <c r="F166" t="inlineStr">
        <is>
          <t>JÖNKÖPINGS LÄN</t>
        </is>
      </c>
      <c r="G166" t="inlineStr">
        <is>
          <t>VAGGERYD</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24993-2023</t>
        </is>
      </c>
      <c r="B167" t="inlineStr">
        <is>
          <t>avverkningsanmälan</t>
        </is>
      </c>
      <c r="C167" t="inlineStr">
        <is>
          <t>Föryngringsavverkning</t>
        </is>
      </c>
      <c r="D167" s="1" t="n">
        <v>45085</v>
      </c>
      <c r="E167" s="1" t="n">
        <v>46289</v>
      </c>
      <c r="F167" t="inlineStr">
        <is>
          <t>JÖNKÖPINGS LÄN</t>
        </is>
      </c>
      <c r="G167" t="inlineStr">
        <is>
          <t>VAGGERYD</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45542-2025</t>
        </is>
      </c>
      <c r="B168" t="inlineStr">
        <is>
          <t>avverkningsanmälan</t>
        </is>
      </c>
      <c r="C168" t="inlineStr">
        <is>
          <t>Föryngringsavverkning</t>
        </is>
      </c>
      <c r="D168" s="1" t="n">
        <v>45922</v>
      </c>
      <c r="E168" s="1" t="n">
        <v>46289</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10586-2023</t>
        </is>
      </c>
      <c r="B169" t="inlineStr">
        <is>
          <t>avverkningsanmälan</t>
        </is>
      </c>
      <c r="C169" t="inlineStr">
        <is>
          <t>Föryngringsavverkning</t>
        </is>
      </c>
      <c r="D169" s="1" t="n">
        <v>44988</v>
      </c>
      <c r="E169" s="1" t="n">
        <v>46289</v>
      </c>
      <c r="F169" t="inlineStr">
        <is>
          <t>JÖNKÖPINGS LÄN</t>
        </is>
      </c>
      <c r="G169" t="inlineStr">
        <is>
          <t>VAGGERYD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60202-2024</t>
        </is>
      </c>
      <c r="B170" t="inlineStr">
        <is>
          <t>avverkningsanmälan</t>
        </is>
      </c>
      <c r="C170" t="inlineStr">
        <is>
          <t>Föryngringsavverkning</t>
        </is>
      </c>
      <c r="D170" s="1" t="n">
        <v>45642</v>
      </c>
      <c r="E170" s="1" t="n">
        <v>46289</v>
      </c>
      <c r="F170" t="inlineStr">
        <is>
          <t>JÖNKÖPINGS LÄN</t>
        </is>
      </c>
      <c r="G170" t="inlineStr">
        <is>
          <t>VAGGERYD</t>
        </is>
      </c>
      <c r="I170" t="n">
        <v>19.7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58876-2021</t>
        </is>
      </c>
      <c r="B171" t="inlineStr">
        <is>
          <t>avverkningsanmälan</t>
        </is>
      </c>
      <c r="C171" t="inlineStr">
        <is>
          <t>Föryngringsavverkning</t>
        </is>
      </c>
      <c r="D171" s="1" t="n">
        <v>44489</v>
      </c>
      <c r="E171" s="1" t="n">
        <v>46289</v>
      </c>
      <c r="F171" t="inlineStr">
        <is>
          <t>JÖNKÖPINGS LÄN</t>
        </is>
      </c>
      <c r="G171" t="inlineStr">
        <is>
          <t>VAGGERYD</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19106-2023</t>
        </is>
      </c>
      <c r="B172" t="inlineStr">
        <is>
          <t>avverkningsanmälan</t>
        </is>
      </c>
      <c r="C172" t="inlineStr">
        <is>
          <t>Föryngringsavverkning</t>
        </is>
      </c>
      <c r="D172" s="1" t="n">
        <v>45048</v>
      </c>
      <c r="E172" s="1" t="n">
        <v>46289</v>
      </c>
      <c r="F172" t="inlineStr">
        <is>
          <t>JÖNKÖPINGS LÄN</t>
        </is>
      </c>
      <c r="G172" t="inlineStr">
        <is>
          <t>VAGGERYD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19117-2023</t>
        </is>
      </c>
      <c r="B173" t="inlineStr">
        <is>
          <t>avverkningsanmälan</t>
        </is>
      </c>
      <c r="C173" t="inlineStr">
        <is>
          <t>Föryngringsavverkning</t>
        </is>
      </c>
      <c r="D173" s="1" t="n">
        <v>45048</v>
      </c>
      <c r="E173" s="1" t="n">
        <v>46289</v>
      </c>
      <c r="F173" t="inlineStr">
        <is>
          <t>JÖNKÖPINGS LÄN</t>
        </is>
      </c>
      <c r="G173" t="inlineStr">
        <is>
          <t>VAGGERYD</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26874-2025</t>
        </is>
      </c>
      <c r="B174" t="inlineStr">
        <is>
          <t>avverkningsanmälan</t>
        </is>
      </c>
      <c r="C174" t="inlineStr">
        <is>
          <t>Föryngringsavverkning</t>
        </is>
      </c>
      <c r="D174" s="1" t="n">
        <v>45810</v>
      </c>
      <c r="E174" s="1" t="n">
        <v>46289</v>
      </c>
      <c r="F174" t="inlineStr">
        <is>
          <t>JÖNKÖPINGS LÄN</t>
        </is>
      </c>
      <c r="G174" t="inlineStr">
        <is>
          <t>VAGGERYD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40190-2024</t>
        </is>
      </c>
      <c r="B175" t="inlineStr">
        <is>
          <t>avverkningsanmälan</t>
        </is>
      </c>
      <c r="C175" t="inlineStr">
        <is>
          <t>Föryngringsavverkning</t>
        </is>
      </c>
      <c r="D175" s="1" t="n">
        <v>45554</v>
      </c>
      <c r="E175" s="1" t="n">
        <v>46289</v>
      </c>
      <c r="F175" t="inlineStr">
        <is>
          <t>JÖNKÖPINGS LÄN</t>
        </is>
      </c>
      <c r="G175" t="inlineStr">
        <is>
          <t>VAGGERYD</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49674-2023</t>
        </is>
      </c>
      <c r="B176" t="inlineStr">
        <is>
          <t>avverkningsanmälan</t>
        </is>
      </c>
      <c r="C176" t="inlineStr">
        <is>
          <t>Föryngringsavverkning</t>
        </is>
      </c>
      <c r="D176" s="1" t="n">
        <v>45212</v>
      </c>
      <c r="E176" s="1" t="n">
        <v>46289</v>
      </c>
      <c r="F176" t="inlineStr">
        <is>
          <t>JÖNKÖPINGS LÄN</t>
        </is>
      </c>
      <c r="G176" t="inlineStr">
        <is>
          <t>VAGGERYD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61903-2024</t>
        </is>
      </c>
      <c r="B177" t="inlineStr">
        <is>
          <t>avverkningsanmälan</t>
        </is>
      </c>
      <c r="C177" t="inlineStr">
        <is>
          <t>Föryngringsavverkning</t>
        </is>
      </c>
      <c r="D177" s="1" t="n">
        <v>45653</v>
      </c>
      <c r="E177" s="1" t="n">
        <v>46289</v>
      </c>
      <c r="F177" t="inlineStr">
        <is>
          <t>JÖNKÖPINGS LÄN</t>
        </is>
      </c>
      <c r="G177" t="inlineStr">
        <is>
          <t>VAGGERYD</t>
        </is>
      </c>
      <c r="I177" t="n">
        <v>6.4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26613-2025</t>
        </is>
      </c>
      <c r="B178" t="inlineStr">
        <is>
          <t>avverkningsanmälan</t>
        </is>
      </c>
      <c r="C178" t="inlineStr">
        <is>
          <t>Föryngringsavverkning</t>
        </is>
      </c>
      <c r="D178" s="1" t="n">
        <v>45810</v>
      </c>
      <c r="E178" s="1" t="n">
        <v>46289</v>
      </c>
      <c r="F178" t="inlineStr">
        <is>
          <t>JÖNKÖPINGS LÄN</t>
        </is>
      </c>
      <c r="G178" t="inlineStr">
        <is>
          <t>VAGGERYD</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9217-2022</t>
        </is>
      </c>
      <c r="B179" t="inlineStr">
        <is>
          <t>avverkningsanmälan</t>
        </is>
      </c>
      <c r="C179" t="inlineStr">
        <is>
          <t>Föryngringsavverkning</t>
        </is>
      </c>
      <c r="D179" s="1" t="n">
        <v>44616</v>
      </c>
      <c r="E179" s="1" t="n">
        <v>46289</v>
      </c>
      <c r="F179" t="inlineStr">
        <is>
          <t>JÖNKÖPINGS LÄN</t>
        </is>
      </c>
      <c r="G179" t="inlineStr">
        <is>
          <t>VAGGERYD</t>
        </is>
      </c>
      <c r="H179" t="inlineStr">
        <is>
          <t>Sveaskog</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63412-2023</t>
        </is>
      </c>
      <c r="B180" t="inlineStr">
        <is>
          <t>avverkningsanmälan</t>
        </is>
      </c>
      <c r="C180" t="inlineStr">
        <is>
          <t>Föryngringsavverkning</t>
        </is>
      </c>
      <c r="D180" s="1" t="n">
        <v>45274</v>
      </c>
      <c r="E180" s="1" t="n">
        <v>46289</v>
      </c>
      <c r="F180" t="inlineStr">
        <is>
          <t>JÖNKÖPINGS LÄN</t>
        </is>
      </c>
      <c r="G180" t="inlineStr">
        <is>
          <t>VAGGERYD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38504-2024</t>
        </is>
      </c>
      <c r="B181" t="inlineStr">
        <is>
          <t>avverkningsanmälan</t>
        </is>
      </c>
      <c r="C181" t="inlineStr">
        <is>
          <t>Föryngringsavverkning</t>
        </is>
      </c>
      <c r="D181" s="1" t="n">
        <v>45546</v>
      </c>
      <c r="E181" s="1" t="n">
        <v>46289</v>
      </c>
      <c r="F181" t="inlineStr">
        <is>
          <t>JÖNKÖPINGS LÄN</t>
        </is>
      </c>
      <c r="G181" t="inlineStr">
        <is>
          <t>VAGGERYD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17116-2025</t>
        </is>
      </c>
      <c r="B182" t="inlineStr">
        <is>
          <t>avverkningsanmälan</t>
        </is>
      </c>
      <c r="C182" t="inlineStr">
        <is>
          <t>Föryngringsavverkning</t>
        </is>
      </c>
      <c r="D182" s="1" t="n">
        <v>45755</v>
      </c>
      <c r="E182" s="1" t="n">
        <v>46289</v>
      </c>
      <c r="F182" t="inlineStr">
        <is>
          <t>JÖNKÖPINGS LÄN</t>
        </is>
      </c>
      <c r="G182" t="inlineStr">
        <is>
          <t>VAGGERYD</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52420-2023</t>
        </is>
      </c>
      <c r="B183" t="inlineStr">
        <is>
          <t>avverkningsanmälan</t>
        </is>
      </c>
      <c r="C183" t="inlineStr">
        <is>
          <t>Föryngringsavverkning</t>
        </is>
      </c>
      <c r="D183" s="1" t="n">
        <v>45225</v>
      </c>
      <c r="E183" s="1" t="n">
        <v>46289</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49230-2025</t>
        </is>
      </c>
      <c r="B184" t="inlineStr">
        <is>
          <t>avverkningsanmälan</t>
        </is>
      </c>
      <c r="C184" t="inlineStr">
        <is>
          <t>Föryngringsavverkning</t>
        </is>
      </c>
      <c r="D184" s="1" t="n">
        <v>45938</v>
      </c>
      <c r="E184" s="1" t="n">
        <v>46289</v>
      </c>
      <c r="F184" t="inlineStr">
        <is>
          <t>JÖNKÖPINGS LÄN</t>
        </is>
      </c>
      <c r="G184" t="inlineStr">
        <is>
          <t>VAGGERYD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59180-2022</t>
        </is>
      </c>
      <c r="B185" t="inlineStr">
        <is>
          <t>avverkningsanmälan</t>
        </is>
      </c>
      <c r="C185" t="inlineStr">
        <is>
          <t>Föryngringsavverkning</t>
        </is>
      </c>
      <c r="D185" s="1" t="n">
        <v>44904</v>
      </c>
      <c r="E185" s="1" t="n">
        <v>46289</v>
      </c>
      <c r="F185" t="inlineStr">
        <is>
          <t>JÖNKÖPINGS LÄN</t>
        </is>
      </c>
      <c r="G185" t="inlineStr">
        <is>
          <t>VAGGERYD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26688-2024</t>
        </is>
      </c>
      <c r="B186" t="inlineStr">
        <is>
          <t>avverkningsanmälan</t>
        </is>
      </c>
      <c r="C186" t="inlineStr">
        <is>
          <t>Föryngringsavverkning</t>
        </is>
      </c>
      <c r="D186" s="1" t="n">
        <v>45469</v>
      </c>
      <c r="E186" s="1" t="n">
        <v>46289</v>
      </c>
      <c r="F186" t="inlineStr">
        <is>
          <t>JÖNKÖPINGS LÄN</t>
        </is>
      </c>
      <c r="G186" t="inlineStr">
        <is>
          <t>VAGGERYD</t>
        </is>
      </c>
      <c r="I186" t="n">
        <v>7.1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50415-2025</t>
        </is>
      </c>
      <c r="B187" t="inlineStr">
        <is>
          <t>avverkningsanmälan</t>
        </is>
      </c>
      <c r="C187" t="inlineStr">
        <is>
          <t>Föryngringsavverkning</t>
        </is>
      </c>
      <c r="D187" s="1" t="n">
        <v>45944</v>
      </c>
      <c r="E187" s="1" t="n">
        <v>46289</v>
      </c>
      <c r="F187" t="inlineStr">
        <is>
          <t>JÖNKÖPINGS LÄN</t>
        </is>
      </c>
      <c r="G187" t="inlineStr">
        <is>
          <t>VAGGERYD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41744-2024</t>
        </is>
      </c>
      <c r="B188" t="inlineStr">
        <is>
          <t>avverkningsanmälan</t>
        </is>
      </c>
      <c r="C188" t="inlineStr">
        <is>
          <t>Föryngringsavverkning</t>
        </is>
      </c>
      <c r="D188" s="1" t="n">
        <v>45561</v>
      </c>
      <c r="E188" s="1" t="n">
        <v>46289</v>
      </c>
      <c r="F188" t="inlineStr">
        <is>
          <t>JÖNKÖPINGS LÄN</t>
        </is>
      </c>
      <c r="G188" t="inlineStr">
        <is>
          <t>VAGGERYD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50418-2025</t>
        </is>
      </c>
      <c r="B189" t="inlineStr">
        <is>
          <t>avverkningsanmälan</t>
        </is>
      </c>
      <c r="C189" t="inlineStr">
        <is>
          <t>Föryngringsavverkning</t>
        </is>
      </c>
      <c r="D189" s="1" t="n">
        <v>45944</v>
      </c>
      <c r="E189" s="1" t="n">
        <v>46289</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61908-2024</t>
        </is>
      </c>
      <c r="B190" t="inlineStr">
        <is>
          <t>avverkningsanmälan</t>
        </is>
      </c>
      <c r="C190" t="inlineStr">
        <is>
          <t>Föryngringsavverkning</t>
        </is>
      </c>
      <c r="D190" s="1" t="n">
        <v>45653</v>
      </c>
      <c r="E190" s="1" t="n">
        <v>46289</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17512-2023</t>
        </is>
      </c>
      <c r="B191" t="inlineStr">
        <is>
          <t>avverkningsanmälan</t>
        </is>
      </c>
      <c r="C191" t="inlineStr">
        <is>
          <t>Föryngringsavverkning</t>
        </is>
      </c>
      <c r="D191" s="1" t="n">
        <v>45036</v>
      </c>
      <c r="E191" s="1" t="n">
        <v>46289</v>
      </c>
      <c r="F191" t="inlineStr">
        <is>
          <t>JÖNKÖPINGS LÄN</t>
        </is>
      </c>
      <c r="G191" t="inlineStr">
        <is>
          <t>VAGGERYD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73309-2021</t>
        </is>
      </c>
      <c r="B192" t="inlineStr">
        <is>
          <t>avverkningsanmälan</t>
        </is>
      </c>
      <c r="C192" t="inlineStr">
        <is>
          <t>Avverkning för annat ändamål</t>
        </is>
      </c>
      <c r="D192" s="1" t="n">
        <v>44551</v>
      </c>
      <c r="E192" s="1" t="n">
        <v>46289</v>
      </c>
      <c r="F192" t="inlineStr">
        <is>
          <t>JÖNKÖPINGS LÄN</t>
        </is>
      </c>
      <c r="G192" t="inlineStr">
        <is>
          <t>VAGGERYD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58924-2024</t>
        </is>
      </c>
      <c r="B193" t="inlineStr">
        <is>
          <t>avverkningsanmälan</t>
        </is>
      </c>
      <c r="C193" t="inlineStr">
        <is>
          <t>Föryngringsavverkning</t>
        </is>
      </c>
      <c r="D193" s="1" t="n">
        <v>45636</v>
      </c>
      <c r="E193" s="1" t="n">
        <v>46289</v>
      </c>
      <c r="F193" t="inlineStr">
        <is>
          <t>JÖNKÖPINGS LÄN</t>
        </is>
      </c>
      <c r="G193" t="inlineStr">
        <is>
          <t>VAGGERYD</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1489-2023</t>
        </is>
      </c>
      <c r="B194" t="inlineStr">
        <is>
          <t>avverkningsanmälan</t>
        </is>
      </c>
      <c r="C194" t="inlineStr">
        <is>
          <t>Föryngringsavverkning</t>
        </is>
      </c>
      <c r="D194" s="1" t="n">
        <v>44935</v>
      </c>
      <c r="E194" s="1" t="n">
        <v>46289</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1493-2023</t>
        </is>
      </c>
      <c r="B195" t="inlineStr">
        <is>
          <t>avverkningsanmälan</t>
        </is>
      </c>
      <c r="C195" t="inlineStr">
        <is>
          <t>Föryngringsavverkning</t>
        </is>
      </c>
      <c r="D195" s="1" t="n">
        <v>44935</v>
      </c>
      <c r="E195" s="1" t="n">
        <v>46289</v>
      </c>
      <c r="F195" t="inlineStr">
        <is>
          <t>JÖNKÖPINGS LÄN</t>
        </is>
      </c>
      <c r="G195" t="inlineStr">
        <is>
          <t>VAGGERYD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39506-2024</t>
        </is>
      </c>
      <c r="B196" t="inlineStr">
        <is>
          <t>avverkningsanmälan</t>
        </is>
      </c>
      <c r="C196" t="inlineStr">
        <is>
          <t>Föryngringsavverkning</t>
        </is>
      </c>
      <c r="D196" s="1" t="n">
        <v>45551</v>
      </c>
      <c r="E196" s="1" t="n">
        <v>46289</v>
      </c>
      <c r="F196" t="inlineStr">
        <is>
          <t>JÖNKÖPINGS LÄN</t>
        </is>
      </c>
      <c r="G196" t="inlineStr">
        <is>
          <t>VAGGERYD</t>
        </is>
      </c>
      <c r="H196" t="inlineStr">
        <is>
          <t>Kommuner</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40343-2023</t>
        </is>
      </c>
      <c r="B197" t="inlineStr">
        <is>
          <t>avverkningsanmälan</t>
        </is>
      </c>
      <c r="C197" t="inlineStr">
        <is>
          <t>Föryngringsavverkning</t>
        </is>
      </c>
      <c r="D197" s="1" t="n">
        <v>45169</v>
      </c>
      <c r="E197" s="1" t="n">
        <v>46289</v>
      </c>
      <c r="F197" t="inlineStr">
        <is>
          <t>JÖNKÖPINGS LÄN</t>
        </is>
      </c>
      <c r="G197" t="inlineStr">
        <is>
          <t>VAGGERYD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36318-2023</t>
        </is>
      </c>
      <c r="B198" t="inlineStr">
        <is>
          <t>avverkningsanmälan</t>
        </is>
      </c>
      <c r="C198" t="inlineStr">
        <is>
          <t>Avverkning för annat ändamål</t>
        </is>
      </c>
      <c r="D198" s="1" t="n">
        <v>45149</v>
      </c>
      <c r="E198" s="1" t="n">
        <v>46289</v>
      </c>
      <c r="F198" t="inlineStr">
        <is>
          <t>JÖNKÖPINGS LÄN</t>
        </is>
      </c>
      <c r="G198" t="inlineStr">
        <is>
          <t>VAGGERYD</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46890-2024</t>
        </is>
      </c>
      <c r="B199" t="inlineStr">
        <is>
          <t>avverkningsanmälan</t>
        </is>
      </c>
      <c r="C199" t="inlineStr">
        <is>
          <t>Föryngringsavverkning</t>
        </is>
      </c>
      <c r="D199" s="1" t="n">
        <v>45583</v>
      </c>
      <c r="E199" s="1" t="n">
        <v>46289</v>
      </c>
      <c r="F199" t="inlineStr">
        <is>
          <t>JÖNKÖPINGS LÄN</t>
        </is>
      </c>
      <c r="G199" t="inlineStr">
        <is>
          <t>VAGGERYD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58600-2024</t>
        </is>
      </c>
      <c r="B200" t="inlineStr">
        <is>
          <t>avverkningsanmälan</t>
        </is>
      </c>
      <c r="C200" t="inlineStr">
        <is>
          <t>Föryngringsavverkning</t>
        </is>
      </c>
      <c r="D200" s="1" t="n">
        <v>45635</v>
      </c>
      <c r="E200" s="1" t="n">
        <v>46289</v>
      </c>
      <c r="F200" t="inlineStr">
        <is>
          <t>JÖNKÖPINGS LÄN</t>
        </is>
      </c>
      <c r="G200" t="inlineStr">
        <is>
          <t>VAGGERYD</t>
        </is>
      </c>
      <c r="H200" t="inlineStr">
        <is>
          <t>Sveaskog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19798-2023</t>
        </is>
      </c>
      <c r="B201" t="inlineStr">
        <is>
          <t>avverkningsanmälan</t>
        </is>
      </c>
      <c r="C201" t="inlineStr">
        <is>
          <t>Föryngringsavverkning</t>
        </is>
      </c>
      <c r="D201" s="1" t="n">
        <v>45051</v>
      </c>
      <c r="E201" s="1" t="n">
        <v>46289</v>
      </c>
      <c r="F201" t="inlineStr">
        <is>
          <t>JÖNKÖPINGS LÄN</t>
        </is>
      </c>
      <c r="G201" t="inlineStr">
        <is>
          <t>VAGGERYD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51628-2025</t>
        </is>
      </c>
      <c r="B202" t="inlineStr">
        <is>
          <t>avverkningsanmälan</t>
        </is>
      </c>
      <c r="C202" t="inlineStr">
        <is>
          <t>Föryngringsavverkning</t>
        </is>
      </c>
      <c r="D202" s="1" t="n">
        <v>45951</v>
      </c>
      <c r="E202" s="1" t="n">
        <v>46289</v>
      </c>
      <c r="F202" t="inlineStr">
        <is>
          <t>JÖNKÖPINGS LÄN</t>
        </is>
      </c>
      <c r="G202" t="inlineStr">
        <is>
          <t>VAGGERYD</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27826-2025</t>
        </is>
      </c>
      <c r="B203" t="inlineStr">
        <is>
          <t>avverkningsanmälan</t>
        </is>
      </c>
      <c r="C203" t="inlineStr">
        <is>
          <t>Föryngringsavverkning</t>
        </is>
      </c>
      <c r="D203" s="1" t="n">
        <v>45817</v>
      </c>
      <c r="E203" s="1" t="n">
        <v>46289</v>
      </c>
      <c r="F203" t="inlineStr">
        <is>
          <t>JÖNKÖPINGS LÄN</t>
        </is>
      </c>
      <c r="G203" t="inlineStr">
        <is>
          <t>VAGGERYD</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4180-2023</t>
        </is>
      </c>
      <c r="B204" t="inlineStr">
        <is>
          <t>avverkningsanmälan</t>
        </is>
      </c>
      <c r="C204" t="inlineStr">
        <is>
          <t>Föryngringsavverkning</t>
        </is>
      </c>
      <c r="D204" s="1" t="n">
        <v>44953</v>
      </c>
      <c r="E204" s="1" t="n">
        <v>46289</v>
      </c>
      <c r="F204" t="inlineStr">
        <is>
          <t>JÖNKÖPINGS LÄN</t>
        </is>
      </c>
      <c r="G204" t="inlineStr">
        <is>
          <t>VAGGERYD</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4193-2023</t>
        </is>
      </c>
      <c r="B205" t="inlineStr">
        <is>
          <t>avverkningsanmälan</t>
        </is>
      </c>
      <c r="C205" t="inlineStr">
        <is>
          <t>Föryngringsavverkning</t>
        </is>
      </c>
      <c r="D205" s="1" t="n">
        <v>44953</v>
      </c>
      <c r="E205" s="1" t="n">
        <v>46289</v>
      </c>
      <c r="F205" t="inlineStr">
        <is>
          <t>JÖNKÖPINGS LÄN</t>
        </is>
      </c>
      <c r="G205" t="inlineStr">
        <is>
          <t>VAGGERYD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6145-2023</t>
        </is>
      </c>
      <c r="B206" t="inlineStr">
        <is>
          <t>avverkningsanmälan</t>
        </is>
      </c>
      <c r="C206" t="inlineStr">
        <is>
          <t>Föryngringsavverkning</t>
        </is>
      </c>
      <c r="D206" s="1" t="n">
        <v>44964</v>
      </c>
      <c r="E206" s="1" t="n">
        <v>46289</v>
      </c>
      <c r="F206" t="inlineStr">
        <is>
          <t>JÖNKÖPINGS LÄN</t>
        </is>
      </c>
      <c r="G206" t="inlineStr">
        <is>
          <t>VAGGERYD</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52084-2025</t>
        </is>
      </c>
      <c r="B207" t="inlineStr">
        <is>
          <t>avverkningsanmälan</t>
        </is>
      </c>
      <c r="C207" t="inlineStr">
        <is>
          <t>Föryngringsavverkning</t>
        </is>
      </c>
      <c r="D207" s="1" t="n">
        <v>45952</v>
      </c>
      <c r="E207" s="1" t="n">
        <v>46289</v>
      </c>
      <c r="F207" t="inlineStr">
        <is>
          <t>JÖNKÖPINGS LÄN</t>
        </is>
      </c>
      <c r="G207" t="inlineStr">
        <is>
          <t>VAGGERYD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44808-2023</t>
        </is>
      </c>
      <c r="B208" t="inlineStr">
        <is>
          <t>avverkningsanmälan</t>
        </is>
      </c>
      <c r="C208" t="inlineStr">
        <is>
          <t>Avverkning för annat ändamål</t>
        </is>
      </c>
      <c r="D208" s="1" t="n">
        <v>45190</v>
      </c>
      <c r="E208" s="1" t="n">
        <v>46289</v>
      </c>
      <c r="F208" t="inlineStr">
        <is>
          <t>JÖNKÖPINGS LÄN</t>
        </is>
      </c>
      <c r="G208" t="inlineStr">
        <is>
          <t>VAGGERYD</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27461-2023</t>
        </is>
      </c>
      <c r="B209" t="inlineStr">
        <is>
          <t>avverkningsanmälan</t>
        </is>
      </c>
      <c r="C209" t="inlineStr">
        <is>
          <t>Föryngringsavverkning</t>
        </is>
      </c>
      <c r="D209" s="1" t="n">
        <v>45097</v>
      </c>
      <c r="E209" s="1" t="n">
        <v>46289</v>
      </c>
      <c r="F209" t="inlineStr">
        <is>
          <t>JÖNKÖPINGS LÄN</t>
        </is>
      </c>
      <c r="G209" t="inlineStr">
        <is>
          <t>VAGGERYD</t>
        </is>
      </c>
      <c r="H209" t="inlineStr">
        <is>
          <t>Sveaskog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27815-2025</t>
        </is>
      </c>
      <c r="B210" t="inlineStr">
        <is>
          <t>avverkningsanmälan</t>
        </is>
      </c>
      <c r="C210" t="inlineStr">
        <is>
          <t>Föryngringsavverkning</t>
        </is>
      </c>
      <c r="D210" s="1" t="n">
        <v>45817</v>
      </c>
      <c r="E210" s="1" t="n">
        <v>46289</v>
      </c>
      <c r="F210" t="inlineStr">
        <is>
          <t>JÖNKÖPINGS LÄN</t>
        </is>
      </c>
      <c r="G210" t="inlineStr">
        <is>
          <t>VAGGERYD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563-2023</t>
        </is>
      </c>
      <c r="B211" t="inlineStr">
        <is>
          <t>avverkningsanmälan</t>
        </is>
      </c>
      <c r="C211" t="inlineStr">
        <is>
          <t>Föryngringsavverkning</t>
        </is>
      </c>
      <c r="D211" s="1" t="n">
        <v>44930</v>
      </c>
      <c r="E211" s="1" t="n">
        <v>46289</v>
      </c>
      <c r="F211" t="inlineStr">
        <is>
          <t>JÖNKÖPINGS LÄN</t>
        </is>
      </c>
      <c r="G211" t="inlineStr">
        <is>
          <t>VAGGERYD</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40881-2024</t>
        </is>
      </c>
      <c r="B212" t="inlineStr">
        <is>
          <t>avverkningsanmälan</t>
        </is>
      </c>
      <c r="C212" t="inlineStr">
        <is>
          <t>Föryngringsavverkning</t>
        </is>
      </c>
      <c r="D212" s="1" t="n">
        <v>45558</v>
      </c>
      <c r="E212" s="1" t="n">
        <v>46289</v>
      </c>
      <c r="F212" t="inlineStr">
        <is>
          <t>JÖNKÖPINGS LÄN</t>
        </is>
      </c>
      <c r="G212" t="inlineStr">
        <is>
          <t>VAGGERYD</t>
        </is>
      </c>
      <c r="H212" t="inlineStr">
        <is>
          <t>Sveaskog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12455-2022</t>
        </is>
      </c>
      <c r="B213" t="inlineStr">
        <is>
          <t>avverkningsanmälan</t>
        </is>
      </c>
      <c r="C213" t="inlineStr">
        <is>
          <t>Föryngringsavverkning</t>
        </is>
      </c>
      <c r="D213" s="1" t="n">
        <v>44638</v>
      </c>
      <c r="E213" s="1" t="n">
        <v>46289</v>
      </c>
      <c r="F213" t="inlineStr">
        <is>
          <t>JÖNKÖPINGS LÄN</t>
        </is>
      </c>
      <c r="G213" t="inlineStr">
        <is>
          <t>VAGGERYD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26839-2023</t>
        </is>
      </c>
      <c r="B214" t="inlineStr">
        <is>
          <t>avverkningsanmälan</t>
        </is>
      </c>
      <c r="C214" t="inlineStr">
        <is>
          <t>Föryngringsavverkning</t>
        </is>
      </c>
      <c r="D214" s="1" t="n">
        <v>45093</v>
      </c>
      <c r="E214" s="1" t="n">
        <v>46289</v>
      </c>
      <c r="F214" t="inlineStr">
        <is>
          <t>JÖNKÖPINGS LÄN</t>
        </is>
      </c>
      <c r="G214" t="inlineStr">
        <is>
          <t>VAGGERYD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20252-2025</t>
        </is>
      </c>
      <c r="B215" t="inlineStr">
        <is>
          <t>avverkningsanmälan</t>
        </is>
      </c>
      <c r="C215" t="inlineStr">
        <is>
          <t>Avverkning för annat ändamål</t>
        </is>
      </c>
      <c r="D215" s="1" t="n">
        <v>45772</v>
      </c>
      <c r="E215" s="1" t="n">
        <v>46289</v>
      </c>
      <c r="F215" t="inlineStr">
        <is>
          <t>JÖNKÖPINGS LÄN</t>
        </is>
      </c>
      <c r="G215" t="inlineStr">
        <is>
          <t>VAGGERYD</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19787-2023</t>
        </is>
      </c>
      <c r="B216" t="inlineStr">
        <is>
          <t>avverkningsanmälan</t>
        </is>
      </c>
      <c r="C216" t="inlineStr">
        <is>
          <t>Föryngringsavverkning</t>
        </is>
      </c>
      <c r="D216" s="1" t="n">
        <v>45051</v>
      </c>
      <c r="E216" s="1" t="n">
        <v>46289</v>
      </c>
      <c r="F216" t="inlineStr">
        <is>
          <t>JÖNKÖPINGS LÄN</t>
        </is>
      </c>
      <c r="G216" t="inlineStr">
        <is>
          <t>VAGGERYD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11585-2023</t>
        </is>
      </c>
      <c r="B217" t="inlineStr">
        <is>
          <t>avverkningsanmälan</t>
        </is>
      </c>
      <c r="C217" t="inlineStr">
        <is>
          <t>Föryngringsavverkning</t>
        </is>
      </c>
      <c r="D217" s="1" t="n">
        <v>44994</v>
      </c>
      <c r="E217" s="1" t="n">
        <v>46289</v>
      </c>
      <c r="F217" t="inlineStr">
        <is>
          <t>JÖNKÖPINGS LÄN</t>
        </is>
      </c>
      <c r="G217" t="inlineStr">
        <is>
          <t>VAGGERYD</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11791-2023</t>
        </is>
      </c>
      <c r="B218" t="inlineStr">
        <is>
          <t>avverkningsanmälan</t>
        </is>
      </c>
      <c r="C218" t="inlineStr">
        <is>
          <t>Föryngringsavverkning</t>
        </is>
      </c>
      <c r="D218" s="1" t="n">
        <v>44994</v>
      </c>
      <c r="E218" s="1" t="n">
        <v>46289</v>
      </c>
      <c r="F218" t="inlineStr">
        <is>
          <t>JÖNKÖPINGS LÄN</t>
        </is>
      </c>
      <c r="G218" t="inlineStr">
        <is>
          <t>VAGGERYD</t>
        </is>
      </c>
      <c r="H218" t="inlineStr">
        <is>
          <t>Sveaskog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44002-2023</t>
        </is>
      </c>
      <c r="B219" t="inlineStr">
        <is>
          <t>avverkningsanmälan</t>
        </is>
      </c>
      <c r="C219" t="inlineStr">
        <is>
          <t>Avverkning för annat ändamål</t>
        </is>
      </c>
      <c r="D219" s="1" t="n">
        <v>45188</v>
      </c>
      <c r="E219" s="1" t="n">
        <v>46289</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64440-2023</t>
        </is>
      </c>
      <c r="B220" t="inlineStr">
        <is>
          <t>avverkningsanmälan</t>
        </is>
      </c>
      <c r="C220" t="inlineStr">
        <is>
          <t>Föryngringsavverkning</t>
        </is>
      </c>
      <c r="D220" s="1" t="n">
        <v>45280</v>
      </c>
      <c r="E220" s="1" t="n">
        <v>46289</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5335-2025</t>
        </is>
      </c>
      <c r="B221" t="inlineStr">
        <is>
          <t>avverkningsanmälan</t>
        </is>
      </c>
      <c r="C221" t="inlineStr">
        <is>
          <t>Föryngringsavverkning</t>
        </is>
      </c>
      <c r="D221" s="1" t="n">
        <v>45659</v>
      </c>
      <c r="E221" s="1" t="n">
        <v>46289</v>
      </c>
      <c r="F221" t="inlineStr">
        <is>
          <t>JÖNKÖPINGS LÄN</t>
        </is>
      </c>
      <c r="G221" t="inlineStr">
        <is>
          <t>VAGGERYD</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2653-2025</t>
        </is>
      </c>
      <c r="B222" t="inlineStr">
        <is>
          <t>avverkningsanmälan</t>
        </is>
      </c>
      <c r="C222" t="inlineStr">
        <is>
          <t>Föryngringsavverkning</t>
        </is>
      </c>
      <c r="D222" s="1" t="n">
        <v>45676</v>
      </c>
      <c r="E222" s="1" t="n">
        <v>46289</v>
      </c>
      <c r="F222" t="inlineStr">
        <is>
          <t>JÖNKÖPINGS LÄN</t>
        </is>
      </c>
      <c r="G222" t="inlineStr">
        <is>
          <t>VAGGERYD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6105-2025</t>
        </is>
      </c>
      <c r="B223" t="inlineStr">
        <is>
          <t>avverkningsanmälan</t>
        </is>
      </c>
      <c r="C223" t="inlineStr">
        <is>
          <t>Föryngringsavverkning</t>
        </is>
      </c>
      <c r="D223" s="1" t="n">
        <v>45697</v>
      </c>
      <c r="E223" s="1" t="n">
        <v>46289</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61961-2024</t>
        </is>
      </c>
      <c r="B224" t="inlineStr">
        <is>
          <t>avverkningsanmälan</t>
        </is>
      </c>
      <c r="C224" t="inlineStr">
        <is>
          <t>Föryngringsavverkning</t>
        </is>
      </c>
      <c r="D224" s="1" t="n">
        <v>45653</v>
      </c>
      <c r="E224" s="1" t="n">
        <v>46289</v>
      </c>
      <c r="F224" t="inlineStr">
        <is>
          <t>JÖNKÖPINGS LÄN</t>
        </is>
      </c>
      <c r="G224" t="inlineStr">
        <is>
          <t>VAGGERYD</t>
        </is>
      </c>
      <c r="H224" t="inlineStr">
        <is>
          <t>Sveaskog</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9103-2024</t>
        </is>
      </c>
      <c r="B225" t="inlineStr">
        <is>
          <t>avverkningsanmälan</t>
        </is>
      </c>
      <c r="C225" t="inlineStr">
        <is>
          <t>Avverkning för annat ändamål</t>
        </is>
      </c>
      <c r="D225" s="1" t="n">
        <v>45357</v>
      </c>
      <c r="E225" s="1" t="n">
        <v>46289</v>
      </c>
      <c r="F225" t="inlineStr">
        <is>
          <t>JÖNKÖPINGS LÄN</t>
        </is>
      </c>
      <c r="G225" t="inlineStr">
        <is>
          <t>VAGGERYD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7183-2023</t>
        </is>
      </c>
      <c r="B226" t="inlineStr">
        <is>
          <t>avverkningsanmälan</t>
        </is>
      </c>
      <c r="C226" t="inlineStr">
        <is>
          <t>Föryngringsavverkning</t>
        </is>
      </c>
      <c r="D226" s="1" t="n">
        <v>44965</v>
      </c>
      <c r="E226" s="1" t="n">
        <v>46289</v>
      </c>
      <c r="F226" t="inlineStr">
        <is>
          <t>JÖNKÖPINGS LÄN</t>
        </is>
      </c>
      <c r="G226" t="inlineStr">
        <is>
          <t>VAGGERYD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43050-2024</t>
        </is>
      </c>
      <c r="B227" t="inlineStr">
        <is>
          <t>avverkningsanmälan</t>
        </is>
      </c>
      <c r="C227" t="inlineStr">
        <is>
          <t>Föryngringsavverkning</t>
        </is>
      </c>
      <c r="D227" s="1" t="n">
        <v>45567</v>
      </c>
      <c r="E227" s="1" t="n">
        <v>46289</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56550-2025</t>
        </is>
      </c>
      <c r="B228" t="inlineStr">
        <is>
          <t>avverkningsanmälan</t>
        </is>
      </c>
      <c r="C228" t="inlineStr">
        <is>
          <t>Föryngringsavverkning</t>
        </is>
      </c>
      <c r="D228" s="1" t="n">
        <v>45975</v>
      </c>
      <c r="E228" s="1" t="n">
        <v>46289</v>
      </c>
      <c r="F228" t="inlineStr">
        <is>
          <t>JÖNKÖPINGS LÄN</t>
        </is>
      </c>
      <c r="G228" t="inlineStr">
        <is>
          <t>VAGGERYD</t>
        </is>
      </c>
      <c r="H228" t="inlineStr">
        <is>
          <t>Sveaskog</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16221-2023</t>
        </is>
      </c>
      <c r="B229" t="inlineStr">
        <is>
          <t>avverkningsanmälan</t>
        </is>
      </c>
      <c r="C229" t="inlineStr">
        <is>
          <t>Föryngringsavverkning</t>
        </is>
      </c>
      <c r="D229" s="1" t="n">
        <v>45028</v>
      </c>
      <c r="E229" s="1" t="n">
        <v>46289</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56985-2025</t>
        </is>
      </c>
      <c r="B230" t="inlineStr">
        <is>
          <t>avverkningsanmälan</t>
        </is>
      </c>
      <c r="C230" t="inlineStr">
        <is>
          <t>Föryngringsavverkning</t>
        </is>
      </c>
      <c r="D230" s="1" t="n">
        <v>45978</v>
      </c>
      <c r="E230" s="1" t="n">
        <v>46289</v>
      </c>
      <c r="F230" t="inlineStr">
        <is>
          <t>JÖNKÖPINGS LÄN</t>
        </is>
      </c>
      <c r="G230" t="inlineStr">
        <is>
          <t>VAGGERYD</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57192-2024</t>
        </is>
      </c>
      <c r="B231" t="inlineStr">
        <is>
          <t>avverkningsanmälan</t>
        </is>
      </c>
      <c r="C231" t="inlineStr">
        <is>
          <t>Avverkning för annat ändamål</t>
        </is>
      </c>
      <c r="D231" s="1" t="n">
        <v>45629</v>
      </c>
      <c r="E231" s="1" t="n">
        <v>46289</v>
      </c>
      <c r="F231" t="inlineStr">
        <is>
          <t>JÖNKÖPINGS LÄN</t>
        </is>
      </c>
      <c r="G231" t="inlineStr">
        <is>
          <t>VAGGERYD</t>
        </is>
      </c>
      <c r="I231" t="n">
        <v>20.8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57002-2025</t>
        </is>
      </c>
      <c r="B232" t="inlineStr">
        <is>
          <t>avverkningsanmälan</t>
        </is>
      </c>
      <c r="C232" t="inlineStr">
        <is>
          <t>Avverkning för annat ändamål</t>
        </is>
      </c>
      <c r="D232" s="1" t="n">
        <v>45978</v>
      </c>
      <c r="E232" s="1" t="n">
        <v>46289</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56546-2025</t>
        </is>
      </c>
      <c r="B233" t="inlineStr">
        <is>
          <t>avverkningsanmälan</t>
        </is>
      </c>
      <c r="C233" t="inlineStr">
        <is>
          <t>Föryngringsavverkning</t>
        </is>
      </c>
      <c r="D233" s="1" t="n">
        <v>45975</v>
      </c>
      <c r="E233" s="1" t="n">
        <v>46289</v>
      </c>
      <c r="F233" t="inlineStr">
        <is>
          <t>JÖNKÖPINGS LÄN</t>
        </is>
      </c>
      <c r="G233" t="inlineStr">
        <is>
          <t>VAGGERYD</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12664-2022</t>
        </is>
      </c>
      <c r="B234" t="inlineStr">
        <is>
          <t>avverkningsanmälan</t>
        </is>
      </c>
      <c r="C234" t="inlineStr">
        <is>
          <t>Avverkning för annat ändamål</t>
        </is>
      </c>
      <c r="D234" s="1" t="n">
        <v>44641</v>
      </c>
      <c r="E234" s="1" t="n">
        <v>46289</v>
      </c>
      <c r="F234" t="inlineStr">
        <is>
          <t>JÖNKÖPINGS LÄN</t>
        </is>
      </c>
      <c r="G234" t="inlineStr">
        <is>
          <t>VAGGERYD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56991-2025</t>
        </is>
      </c>
      <c r="B235" t="inlineStr">
        <is>
          <t>avverkningsanmälan</t>
        </is>
      </c>
      <c r="C235" t="inlineStr">
        <is>
          <t>Föryngringsavverkning</t>
        </is>
      </c>
      <c r="D235" s="1" t="n">
        <v>45978</v>
      </c>
      <c r="E235" s="1" t="n">
        <v>46289</v>
      </c>
      <c r="F235" t="inlineStr">
        <is>
          <t>JÖNKÖPINGS LÄN</t>
        </is>
      </c>
      <c r="G235" t="inlineStr">
        <is>
          <t>VAGGERYD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17340-2024</t>
        </is>
      </c>
      <c r="B236" t="inlineStr">
        <is>
          <t>avverkningsanmälan</t>
        </is>
      </c>
      <c r="C236" t="inlineStr">
        <is>
          <t>Föryngringsavverkning</t>
        </is>
      </c>
      <c r="D236" s="1" t="n">
        <v>45414</v>
      </c>
      <c r="E236" s="1" t="n">
        <v>46289</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57006-2025</t>
        </is>
      </c>
      <c r="B237" t="inlineStr">
        <is>
          <t>avverkningsanmälan</t>
        </is>
      </c>
      <c r="C237" t="inlineStr">
        <is>
          <t>Föryngringsavverkning</t>
        </is>
      </c>
      <c r="D237" s="1" t="n">
        <v>45978</v>
      </c>
      <c r="E237" s="1" t="n">
        <v>46289</v>
      </c>
      <c r="F237" t="inlineStr">
        <is>
          <t>JÖNKÖPINGS LÄN</t>
        </is>
      </c>
      <c r="G237" t="inlineStr">
        <is>
          <t>VAGGERYD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11597-2022</t>
        </is>
      </c>
      <c r="B238" t="inlineStr">
        <is>
          <t>avverkningsanmälan</t>
        </is>
      </c>
      <c r="C238" t="inlineStr">
        <is>
          <t>Föryngringsavverkning</t>
        </is>
      </c>
      <c r="D238" s="1" t="n">
        <v>44631</v>
      </c>
      <c r="E238" s="1" t="n">
        <v>46289</v>
      </c>
      <c r="F238" t="inlineStr">
        <is>
          <t>JÖNKÖPINGS LÄN</t>
        </is>
      </c>
      <c r="G238" t="inlineStr">
        <is>
          <t>VAGGERYD</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57566-2025</t>
        </is>
      </c>
      <c r="B239" t="inlineStr">
        <is>
          <t>avverkningsanmälan</t>
        </is>
      </c>
      <c r="C239" t="inlineStr">
        <is>
          <t>Föryngringsavverkning</t>
        </is>
      </c>
      <c r="D239" s="1" t="n">
        <v>45980</v>
      </c>
      <c r="E239" s="1" t="n">
        <v>46289</v>
      </c>
      <c r="F239" t="inlineStr">
        <is>
          <t>JÖNKÖPINGS LÄN</t>
        </is>
      </c>
      <c r="G239" t="inlineStr">
        <is>
          <t>VAGGERYD</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6385-2023</t>
        </is>
      </c>
      <c r="B240" t="inlineStr">
        <is>
          <t>avverkningsanmälan</t>
        </is>
      </c>
      <c r="C240" t="inlineStr">
        <is>
          <t>Föryngringsavverkning</t>
        </is>
      </c>
      <c r="D240" s="1" t="n">
        <v>44960</v>
      </c>
      <c r="E240" s="1" t="n">
        <v>46289</v>
      </c>
      <c r="F240" t="inlineStr">
        <is>
          <t>JÖNKÖPINGS LÄN</t>
        </is>
      </c>
      <c r="G240" t="inlineStr">
        <is>
          <t>VAGGERYD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54747-2023</t>
        </is>
      </c>
      <c r="B241" t="inlineStr">
        <is>
          <t>avverkningsanmälan</t>
        </is>
      </c>
      <c r="C241" t="inlineStr">
        <is>
          <t>Föryngringsavverkning</t>
        </is>
      </c>
      <c r="D241" s="1" t="n">
        <v>45236</v>
      </c>
      <c r="E241" s="1" t="n">
        <v>46289</v>
      </c>
      <c r="F241" t="inlineStr">
        <is>
          <t>JÖNKÖPINGS LÄN</t>
        </is>
      </c>
      <c r="G241" t="inlineStr">
        <is>
          <t>VAGGERYD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49510-2023</t>
        </is>
      </c>
      <c r="B242" t="inlineStr">
        <is>
          <t>avverkningsanmälan</t>
        </is>
      </c>
      <c r="C242" t="inlineStr">
        <is>
          <t>Avverkning för att bevara och utveckla /försöksver</t>
        </is>
      </c>
      <c r="D242" s="1" t="n">
        <v>45211</v>
      </c>
      <c r="E242" s="1" t="n">
        <v>46289</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43704-2023</t>
        </is>
      </c>
      <c r="B243" t="inlineStr">
        <is>
          <t>avverkningsanmälan</t>
        </is>
      </c>
      <c r="C243" t="inlineStr">
        <is>
          <t>Föryngringsavverkning</t>
        </is>
      </c>
      <c r="D243" s="1" t="n">
        <v>45187</v>
      </c>
      <c r="E243" s="1" t="n">
        <v>46289</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39222-2023</t>
        </is>
      </c>
      <c r="B244" t="inlineStr">
        <is>
          <t>avverkningsanmälan</t>
        </is>
      </c>
      <c r="C244" t="inlineStr">
        <is>
          <t>Föryngringsavverkning</t>
        </is>
      </c>
      <c r="D244" s="1" t="n">
        <v>45166</v>
      </c>
      <c r="E244" s="1" t="n">
        <v>46289</v>
      </c>
      <c r="F244" t="inlineStr">
        <is>
          <t>JÖNKÖPINGS LÄN</t>
        </is>
      </c>
      <c r="G244" t="inlineStr">
        <is>
          <t>VAGGERYD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33237-2022</t>
        </is>
      </c>
      <c r="B245" t="inlineStr">
        <is>
          <t>avverkningsanmälan</t>
        </is>
      </c>
      <c r="C245" t="inlineStr">
        <is>
          <t>Föryngringsavverkning</t>
        </is>
      </c>
      <c r="D245" s="1" t="n">
        <v>44786</v>
      </c>
      <c r="E245" s="1" t="n">
        <v>46289</v>
      </c>
      <c r="F245" t="inlineStr">
        <is>
          <t>JÖNKÖPINGS LÄN</t>
        </is>
      </c>
      <c r="G245" t="inlineStr">
        <is>
          <t>VAGGERYD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46883-2024</t>
        </is>
      </c>
      <c r="B246" t="inlineStr">
        <is>
          <t>avverkningsanmälan</t>
        </is>
      </c>
      <c r="C246" t="inlineStr">
        <is>
          <t>Föryngringsavverkning</t>
        </is>
      </c>
      <c r="D246" s="1" t="n">
        <v>45583</v>
      </c>
      <c r="E246" s="1" t="n">
        <v>46289</v>
      </c>
      <c r="F246" t="inlineStr">
        <is>
          <t>JÖNKÖPINGS LÄN</t>
        </is>
      </c>
      <c r="G246" t="inlineStr">
        <is>
          <t>VAGGERYD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59177-2025</t>
        </is>
      </c>
      <c r="B247" t="inlineStr">
        <is>
          <t>avverkningsanmälan</t>
        </is>
      </c>
      <c r="C247" t="inlineStr">
        <is>
          <t>Föryngringsavverkning</t>
        </is>
      </c>
      <c r="D247" s="1" t="n">
        <v>45988</v>
      </c>
      <c r="E247" s="1" t="n">
        <v>46289</v>
      </c>
      <c r="F247" t="inlineStr">
        <is>
          <t>JÖNKÖPINGS LÄN</t>
        </is>
      </c>
      <c r="G247" t="inlineStr">
        <is>
          <t>VAGGERYD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29639-2025</t>
        </is>
      </c>
      <c r="B248" t="inlineStr">
        <is>
          <t>avverkningsanmälan</t>
        </is>
      </c>
      <c r="C248" t="inlineStr">
        <is>
          <t>Föryngringsavverkning</t>
        </is>
      </c>
      <c r="D248" s="1" t="n">
        <v>45825</v>
      </c>
      <c r="E248" s="1" t="n">
        <v>46289</v>
      </c>
      <c r="F248" t="inlineStr">
        <is>
          <t>JÖNKÖPINGS LÄN</t>
        </is>
      </c>
      <c r="G248" t="inlineStr">
        <is>
          <t>VAGGERYD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40706-2022</t>
        </is>
      </c>
      <c r="B249" t="inlineStr">
        <is>
          <t>avverkningsanmälan</t>
        </is>
      </c>
      <c r="C249" t="inlineStr">
        <is>
          <t>Föryngringsavverkning</t>
        </is>
      </c>
      <c r="D249" s="1" t="n">
        <v>44824</v>
      </c>
      <c r="E249" s="1" t="n">
        <v>46289</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6104-2025</t>
        </is>
      </c>
      <c r="B250" t="inlineStr">
        <is>
          <t>avverkningsanmälan</t>
        </is>
      </c>
      <c r="C250" t="inlineStr">
        <is>
          <t>Föryngringsavverkning</t>
        </is>
      </c>
      <c r="D250" s="1" t="n">
        <v>45697</v>
      </c>
      <c r="E250" s="1" t="n">
        <v>46289</v>
      </c>
      <c r="F250" t="inlineStr">
        <is>
          <t>JÖNKÖPINGS LÄN</t>
        </is>
      </c>
      <c r="G250" t="inlineStr">
        <is>
          <t>VAGGERYD</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43676-2023</t>
        </is>
      </c>
      <c r="B251" t="inlineStr">
        <is>
          <t>avverkningsanmälan</t>
        </is>
      </c>
      <c r="C251" t="inlineStr">
        <is>
          <t>Föryngringsavverkning</t>
        </is>
      </c>
      <c r="D251" s="1" t="n">
        <v>45187</v>
      </c>
      <c r="E251" s="1" t="n">
        <v>46289</v>
      </c>
      <c r="F251" t="inlineStr">
        <is>
          <t>JÖNKÖPINGS LÄN</t>
        </is>
      </c>
      <c r="G251" t="inlineStr">
        <is>
          <t>VAGGERYD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16610-2025</t>
        </is>
      </c>
      <c r="B252" t="inlineStr">
        <is>
          <t>avverkningsanmälan</t>
        </is>
      </c>
      <c r="C252" t="inlineStr">
        <is>
          <t>Föryngringsavverkning</t>
        </is>
      </c>
      <c r="D252" s="1" t="n">
        <v>45753</v>
      </c>
      <c r="E252" s="1" t="n">
        <v>46289</v>
      </c>
      <c r="F252" t="inlineStr">
        <is>
          <t>JÖNKÖPINGS LÄN</t>
        </is>
      </c>
      <c r="G252" t="inlineStr">
        <is>
          <t>VAGGERYD</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31194-2025</t>
        </is>
      </c>
      <c r="B253" t="inlineStr">
        <is>
          <t>avverkningsanmälan</t>
        </is>
      </c>
      <c r="C253" t="inlineStr">
        <is>
          <t>Föryngringsavverkning</t>
        </is>
      </c>
      <c r="D253" s="1" t="n">
        <v>45832</v>
      </c>
      <c r="E253" s="1" t="n">
        <v>46289</v>
      </c>
      <c r="F253" t="inlineStr">
        <is>
          <t>JÖNKÖPINGS LÄN</t>
        </is>
      </c>
      <c r="G253" t="inlineStr">
        <is>
          <t>VAGGERYD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53186-2023</t>
        </is>
      </c>
      <c r="B254" t="inlineStr">
        <is>
          <t>avverkningsanmälan</t>
        </is>
      </c>
      <c r="C254" t="inlineStr">
        <is>
          <t>Föryngringsavverkning</t>
        </is>
      </c>
      <c r="D254" s="1" t="n">
        <v>45229</v>
      </c>
      <c r="E254" s="1" t="n">
        <v>46289</v>
      </c>
      <c r="F254" t="inlineStr">
        <is>
          <t>JÖNKÖPINGS LÄN</t>
        </is>
      </c>
      <c r="G254" t="inlineStr">
        <is>
          <t>VAGGERYD</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30941-2025</t>
        </is>
      </c>
      <c r="B255" t="inlineStr">
        <is>
          <t>avverkningsanmälan</t>
        </is>
      </c>
      <c r="C255" t="inlineStr">
        <is>
          <t>Föryngringsavverkning</t>
        </is>
      </c>
      <c r="D255" s="1" t="n">
        <v>45832</v>
      </c>
      <c r="E255" s="1" t="n">
        <v>46289</v>
      </c>
      <c r="F255" t="inlineStr">
        <is>
          <t>JÖNKÖPINGS LÄN</t>
        </is>
      </c>
      <c r="G255" t="inlineStr">
        <is>
          <t>VAGGERYD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56370-2023</t>
        </is>
      </c>
      <c r="B256" t="inlineStr">
        <is>
          <t>avverkningsanmälan</t>
        </is>
      </c>
      <c r="C256" t="inlineStr">
        <is>
          <t>Föryngringsavverkning</t>
        </is>
      </c>
      <c r="D256" s="1" t="n">
        <v>45243</v>
      </c>
      <c r="E256" s="1" t="n">
        <v>46289</v>
      </c>
      <c r="F256" t="inlineStr">
        <is>
          <t>JÖNKÖPINGS LÄN</t>
        </is>
      </c>
      <c r="G256" t="inlineStr">
        <is>
          <t>VAGGERYD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62032-2023</t>
        </is>
      </c>
      <c r="B257" t="inlineStr">
        <is>
          <t>avverkningsanmälan</t>
        </is>
      </c>
      <c r="C257" t="inlineStr">
        <is>
          <t>Föryngringsavverkning</t>
        </is>
      </c>
      <c r="D257" s="1" t="n">
        <v>45265</v>
      </c>
      <c r="E257" s="1" t="n">
        <v>46289</v>
      </c>
      <c r="F257" t="inlineStr">
        <is>
          <t>JÖNKÖPINGS LÄN</t>
        </is>
      </c>
      <c r="G257" t="inlineStr">
        <is>
          <t>VAGGERYD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16096-2025</t>
        </is>
      </c>
      <c r="B258" t="inlineStr">
        <is>
          <t>avverkningsanmälan</t>
        </is>
      </c>
      <c r="C258" t="inlineStr">
        <is>
          <t>Föryngringsavverkning</t>
        </is>
      </c>
      <c r="D258" s="1" t="n">
        <v>45749</v>
      </c>
      <c r="E258" s="1" t="n">
        <v>46289</v>
      </c>
      <c r="F258" t="inlineStr">
        <is>
          <t>JÖNKÖPINGS LÄN</t>
        </is>
      </c>
      <c r="G258" t="inlineStr">
        <is>
          <t>VAGGERYD</t>
        </is>
      </c>
      <c r="H258" t="inlineStr">
        <is>
          <t>Sveaskog</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612-2026</t>
        </is>
      </c>
      <c r="B259" t="inlineStr">
        <is>
          <t>avverkningsanmälan</t>
        </is>
      </c>
      <c r="C259" t="inlineStr">
        <is>
          <t>Föryngringsavverkning</t>
        </is>
      </c>
      <c r="D259" s="1" t="n">
        <v>46029</v>
      </c>
      <c r="E259" s="1" t="n">
        <v>46289</v>
      </c>
      <c r="F259" t="inlineStr">
        <is>
          <t>JÖNKÖPINGS LÄN</t>
        </is>
      </c>
      <c r="G259" t="inlineStr">
        <is>
          <t>VAGGERYD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60859-2025</t>
        </is>
      </c>
      <c r="B260" t="inlineStr">
        <is>
          <t>avverkningsanmälan</t>
        </is>
      </c>
      <c r="C260" t="inlineStr">
        <is>
          <t>Föryngringsavverkning</t>
        </is>
      </c>
      <c r="D260" s="1" t="n">
        <v>45999</v>
      </c>
      <c r="E260" s="1" t="n">
        <v>46289</v>
      </c>
      <c r="F260" t="inlineStr">
        <is>
          <t>JÖNKÖPINGS LÄN</t>
        </is>
      </c>
      <c r="G260" t="inlineStr">
        <is>
          <t>VAGGERYD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2883-2024</t>
        </is>
      </c>
      <c r="B261" t="inlineStr">
        <is>
          <t>avverkningsanmälan</t>
        </is>
      </c>
      <c r="C261" t="inlineStr">
        <is>
          <t>Avverkning för annat ändamål</t>
        </is>
      </c>
      <c r="D261" s="1" t="n">
        <v>45315</v>
      </c>
      <c r="E261" s="1" t="n">
        <v>46289</v>
      </c>
      <c r="F261" t="inlineStr">
        <is>
          <t>JÖNKÖPINGS LÄN</t>
        </is>
      </c>
      <c r="G261" t="inlineStr">
        <is>
          <t>VAGGERYD</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1397-2026</t>
        </is>
      </c>
      <c r="B262" t="inlineStr">
        <is>
          <t>avverkningsanmälan</t>
        </is>
      </c>
      <c r="C262" t="inlineStr">
        <is>
          <t>Avverkning för att bevara och utveckla /försöksver</t>
        </is>
      </c>
      <c r="D262" s="1" t="n">
        <v>46031</v>
      </c>
      <c r="E262" s="1" t="n">
        <v>46289</v>
      </c>
      <c r="F262" t="inlineStr">
        <is>
          <t>JÖNKÖPINGS LÄN</t>
        </is>
      </c>
      <c r="G262" t="inlineStr">
        <is>
          <t>VAGGERYD</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61633-2025</t>
        </is>
      </c>
      <c r="B263" t="inlineStr">
        <is>
          <t>avverkningsanmälan</t>
        </is>
      </c>
      <c r="C263" t="inlineStr">
        <is>
          <t>Föryngringsavverkning</t>
        </is>
      </c>
      <c r="D263" s="1" t="n">
        <v>46002</v>
      </c>
      <c r="E263" s="1" t="n">
        <v>46289</v>
      </c>
      <c r="F263" t="inlineStr">
        <is>
          <t>JÖNKÖPINGS LÄN</t>
        </is>
      </c>
      <c r="G263" t="inlineStr">
        <is>
          <t>VAGGERYD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1477-2026</t>
        </is>
      </c>
      <c r="B264" t="inlineStr">
        <is>
          <t>avverkningsanmälan</t>
        </is>
      </c>
      <c r="C264" t="inlineStr">
        <is>
          <t>Föryngringsavverkning</t>
        </is>
      </c>
      <c r="D264" s="1" t="n">
        <v>46033</v>
      </c>
      <c r="E264" s="1" t="n">
        <v>46289</v>
      </c>
      <c r="F264" t="inlineStr">
        <is>
          <t>JÖNKÖPINGS LÄN</t>
        </is>
      </c>
      <c r="G264" t="inlineStr">
        <is>
          <t>VAGGERYD</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62040-2025</t>
        </is>
      </c>
      <c r="B265" t="inlineStr">
        <is>
          <t>avverkningsanmälan</t>
        </is>
      </c>
      <c r="C265" t="inlineStr">
        <is>
          <t>Föryngringsavverkning</t>
        </is>
      </c>
      <c r="D265" s="1" t="n">
        <v>46005</v>
      </c>
      <c r="E265" s="1" t="n">
        <v>46289</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55705-2023</t>
        </is>
      </c>
      <c r="B266" t="inlineStr">
        <is>
          <t>avverkningsanmälan</t>
        </is>
      </c>
      <c r="C266" t="inlineStr">
        <is>
          <t>Föryngringsavverkning</t>
        </is>
      </c>
      <c r="D266" s="1" t="n">
        <v>45239</v>
      </c>
      <c r="E266" s="1" t="n">
        <v>46289</v>
      </c>
      <c r="F266" t="inlineStr">
        <is>
          <t>JÖNKÖPINGS LÄN</t>
        </is>
      </c>
      <c r="G266" t="inlineStr">
        <is>
          <t>VAGGERYD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51855-2024</t>
        </is>
      </c>
      <c r="B267" t="inlineStr">
        <is>
          <t>avverkningsanmälan</t>
        </is>
      </c>
      <c r="C267" t="inlineStr">
        <is>
          <t>Föryngringsavverkning</t>
        </is>
      </c>
      <c r="D267" s="1" t="n">
        <v>45607</v>
      </c>
      <c r="E267" s="1" t="n">
        <v>46289</v>
      </c>
      <c r="F267" t="inlineStr">
        <is>
          <t>JÖNKÖPINGS LÄN</t>
        </is>
      </c>
      <c r="G267" t="inlineStr">
        <is>
          <t>VAGGERYD</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2796-2024</t>
        </is>
      </c>
      <c r="B268" t="inlineStr">
        <is>
          <t>avverkningsanmälan</t>
        </is>
      </c>
      <c r="C268" t="inlineStr">
        <is>
          <t>Föryngringsavverkning</t>
        </is>
      </c>
      <c r="D268" s="1" t="n">
        <v>45314</v>
      </c>
      <c r="E268" s="1" t="n">
        <v>46289</v>
      </c>
      <c r="F268" t="inlineStr">
        <is>
          <t>JÖNKÖPINGS LÄN</t>
        </is>
      </c>
      <c r="G268" t="inlineStr">
        <is>
          <t>VAGGERYD</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17009-2024</t>
        </is>
      </c>
      <c r="B269" t="inlineStr">
        <is>
          <t>avverkningsanmälan</t>
        </is>
      </c>
      <c r="C269" t="inlineStr">
        <is>
          <t>Föryngringsavverkning</t>
        </is>
      </c>
      <c r="D269" s="1" t="n">
        <v>45412</v>
      </c>
      <c r="E269" s="1" t="n">
        <v>46289</v>
      </c>
      <c r="F269" t="inlineStr">
        <is>
          <t>JÖNKÖPINGS LÄN</t>
        </is>
      </c>
      <c r="G269" t="inlineStr">
        <is>
          <t>VAGGERYD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62879-2025</t>
        </is>
      </c>
      <c r="B270" t="inlineStr">
        <is>
          <t>avverkningsanmälan</t>
        </is>
      </c>
      <c r="C270" t="inlineStr">
        <is>
          <t>Föryngringsavverkning</t>
        </is>
      </c>
      <c r="D270" s="1" t="n">
        <v>46008</v>
      </c>
      <c r="E270" s="1" t="n">
        <v>46289</v>
      </c>
      <c r="F270" t="inlineStr">
        <is>
          <t>JÖNKÖPINGS LÄN</t>
        </is>
      </c>
      <c r="G270" t="inlineStr">
        <is>
          <t>VAGGERYD</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8538-2024</t>
        </is>
      </c>
      <c r="B271" t="inlineStr">
        <is>
          <t>avverkningsanmälan</t>
        </is>
      </c>
      <c r="C271" t="inlineStr">
        <is>
          <t>Föryngringsavverkning</t>
        </is>
      </c>
      <c r="D271" s="1" t="n">
        <v>45355</v>
      </c>
      <c r="E271" s="1" t="n">
        <v>46289</v>
      </c>
      <c r="F271" t="inlineStr">
        <is>
          <t>JÖNKÖPINGS LÄN</t>
        </is>
      </c>
      <c r="G271" t="inlineStr">
        <is>
          <t>VAGGERYD</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60366-2021</t>
        </is>
      </c>
      <c r="B272" t="inlineStr">
        <is>
          <t>avverkningsanmälan</t>
        </is>
      </c>
      <c r="C272" t="inlineStr">
        <is>
          <t>Föryngringsavverkning</t>
        </is>
      </c>
      <c r="D272" s="1" t="n">
        <v>44496</v>
      </c>
      <c r="E272" s="1" t="n">
        <v>46289</v>
      </c>
      <c r="F272" t="inlineStr">
        <is>
          <t>JÖNKÖPINGS LÄN</t>
        </is>
      </c>
      <c r="G272" t="inlineStr">
        <is>
          <t>VAGGERYD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39758-2022</t>
        </is>
      </c>
      <c r="B273" t="inlineStr">
        <is>
          <t>avverkningsanmälan</t>
        </is>
      </c>
      <c r="C273" t="inlineStr">
        <is>
          <t>Föryngringsavverkning</t>
        </is>
      </c>
      <c r="D273" s="1" t="n">
        <v>44819</v>
      </c>
      <c r="E273" s="1" t="n">
        <v>46289</v>
      </c>
      <c r="F273" t="inlineStr">
        <is>
          <t>JÖNKÖPINGS LÄN</t>
        </is>
      </c>
      <c r="G273" t="inlineStr">
        <is>
          <t>VAGGERYD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63618-2025</t>
        </is>
      </c>
      <c r="B274" t="inlineStr">
        <is>
          <t>avverkningsanmälan</t>
        </is>
      </c>
      <c r="C274" t="inlineStr">
        <is>
          <t>Föryngringsavverkning</t>
        </is>
      </c>
      <c r="D274" s="1" t="n">
        <v>46014</v>
      </c>
      <c r="E274" s="1" t="n">
        <v>46289</v>
      </c>
      <c r="F274" t="inlineStr">
        <is>
          <t>JÖNKÖPINGS LÄN</t>
        </is>
      </c>
      <c r="G274" t="inlineStr">
        <is>
          <t>VAGGERYD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762-2024</t>
        </is>
      </c>
      <c r="B275" t="inlineStr">
        <is>
          <t>avverkningsanmälan</t>
        </is>
      </c>
      <c r="C275" t="inlineStr">
        <is>
          <t>Föryngringsavverkning</t>
        </is>
      </c>
      <c r="D275" s="1" t="n">
        <v>45300</v>
      </c>
      <c r="E275" s="1" t="n">
        <v>46289</v>
      </c>
      <c r="F275" t="inlineStr">
        <is>
          <t>JÖNKÖPINGS LÄN</t>
        </is>
      </c>
      <c r="G275" t="inlineStr">
        <is>
          <t>VAGGERYD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71537-2021</t>
        </is>
      </c>
      <c r="B276" t="inlineStr">
        <is>
          <t>avverkningsanmälan</t>
        </is>
      </c>
      <c r="C276" t="inlineStr">
        <is>
          <t>Föryngringsavverkning</t>
        </is>
      </c>
      <c r="D276" s="1" t="n">
        <v>44540</v>
      </c>
      <c r="E276" s="1" t="n">
        <v>46289</v>
      </c>
      <c r="F276" t="inlineStr">
        <is>
          <t>JÖNKÖPINGS LÄN</t>
        </is>
      </c>
      <c r="G276" t="inlineStr">
        <is>
          <t>VAGGERYD</t>
        </is>
      </c>
      <c r="H276" t="inlineStr">
        <is>
          <t>Sveaskog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60067-2023</t>
        </is>
      </c>
      <c r="B277" t="inlineStr">
        <is>
          <t>avverkningsanmälan</t>
        </is>
      </c>
      <c r="C277" t="inlineStr">
        <is>
          <t>Föryngringsavverkning</t>
        </is>
      </c>
      <c r="D277" s="1" t="n">
        <v>45258</v>
      </c>
      <c r="E277" s="1" t="n">
        <v>46289</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61421-2023</t>
        </is>
      </c>
      <c r="B278" t="inlineStr">
        <is>
          <t>avverkningsanmälan</t>
        </is>
      </c>
      <c r="C278" t="inlineStr">
        <is>
          <t>Föryngringsavverkning</t>
        </is>
      </c>
      <c r="D278" s="1" t="n">
        <v>45264</v>
      </c>
      <c r="E278" s="1" t="n">
        <v>46289</v>
      </c>
      <c r="F278" t="inlineStr">
        <is>
          <t>JÖNKÖPINGS LÄN</t>
        </is>
      </c>
      <c r="G278" t="inlineStr">
        <is>
          <t>VAGGERYD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38492-2026</t>
        </is>
      </c>
      <c r="B279" t="inlineStr">
        <is>
          <t>avverkningsanmälan</t>
        </is>
      </c>
      <c r="C279" t="inlineStr">
        <is>
          <t>Föryngringsavverkning</t>
        </is>
      </c>
      <c r="D279" s="1" t="n">
        <v>46282</v>
      </c>
      <c r="E279" s="1" t="n">
        <v>46289</v>
      </c>
      <c r="F279" t="inlineStr">
        <is>
          <t>JÖNKÖPINGS LÄN</t>
        </is>
      </c>
      <c r="G279" t="inlineStr">
        <is>
          <t>VAGGERYD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38495-2026</t>
        </is>
      </c>
      <c r="B280" t="inlineStr">
        <is>
          <t>avverkningsanmälan</t>
        </is>
      </c>
      <c r="C280" t="inlineStr">
        <is>
          <t>Föryngringsavverkning</t>
        </is>
      </c>
      <c r="D280" s="1" t="n">
        <v>46282</v>
      </c>
      <c r="E280" s="1" t="n">
        <v>46289</v>
      </c>
      <c r="F280" t="inlineStr">
        <is>
          <t>JÖNKÖPINGS LÄN</t>
        </is>
      </c>
      <c r="G280" t="inlineStr">
        <is>
          <t>VAGGERYD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47005-2023</t>
        </is>
      </c>
      <c r="B281" t="inlineStr">
        <is>
          <t>avverkningsanmälan</t>
        </is>
      </c>
      <c r="C281" t="inlineStr">
        <is>
          <t>Föryngringsavverkning</t>
        </is>
      </c>
      <c r="D281" s="1" t="n">
        <v>45195</v>
      </c>
      <c r="E281" s="1" t="n">
        <v>46289</v>
      </c>
      <c r="F281" t="inlineStr">
        <is>
          <t>JÖNKÖPINGS LÄN</t>
        </is>
      </c>
      <c r="G281" t="inlineStr">
        <is>
          <t>VAGGERYD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6452-2026</t>
        </is>
      </c>
      <c r="B282" t="inlineStr">
        <is>
          <t>avverkningsanmälan</t>
        </is>
      </c>
      <c r="C282" t="inlineStr">
        <is>
          <t>Föryngringsavverkning</t>
        </is>
      </c>
      <c r="D282" s="1" t="n">
        <v>46055</v>
      </c>
      <c r="E282" s="1" t="n">
        <v>46289</v>
      </c>
      <c r="F282" t="inlineStr">
        <is>
          <t>JÖNKÖPINGS LÄN</t>
        </is>
      </c>
      <c r="G282" t="inlineStr">
        <is>
          <t>VAGGERYD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54530-2023</t>
        </is>
      </c>
      <c r="B283" t="inlineStr">
        <is>
          <t>avverkningsanmälan</t>
        </is>
      </c>
      <c r="C283" t="inlineStr">
        <is>
          <t>Föryngringsavverkning</t>
        </is>
      </c>
      <c r="D283" s="1" t="n">
        <v>45233</v>
      </c>
      <c r="E283" s="1" t="n">
        <v>46289</v>
      </c>
      <c r="F283" t="inlineStr">
        <is>
          <t>JÖNKÖPINGS LÄN</t>
        </is>
      </c>
      <c r="G283" t="inlineStr">
        <is>
          <t>VAGGERYD</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6460-2026</t>
        </is>
      </c>
      <c r="B284" t="inlineStr">
        <is>
          <t>avverkningsanmälan</t>
        </is>
      </c>
      <c r="C284" t="inlineStr">
        <is>
          <t>Föryngringsavverkning</t>
        </is>
      </c>
      <c r="D284" s="1" t="n">
        <v>46056</v>
      </c>
      <c r="E284" s="1" t="n">
        <v>46289</v>
      </c>
      <c r="F284" t="inlineStr">
        <is>
          <t>JÖNKÖPINGS LÄN</t>
        </is>
      </c>
      <c r="G284" t="inlineStr">
        <is>
          <t>VAGGERYD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6510-2026</t>
        </is>
      </c>
      <c r="B285" t="inlineStr">
        <is>
          <t>avverkningsanmälan</t>
        </is>
      </c>
      <c r="C285" t="inlineStr">
        <is>
          <t>Föryngringsavverkning</t>
        </is>
      </c>
      <c r="D285" s="1" t="n">
        <v>46056</v>
      </c>
      <c r="E285" s="1" t="n">
        <v>46289</v>
      </c>
      <c r="F285" t="inlineStr">
        <is>
          <t>JÖNKÖPINGS LÄN</t>
        </is>
      </c>
      <c r="G285" t="inlineStr">
        <is>
          <t>VAGGERYD</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6450-2026</t>
        </is>
      </c>
      <c r="B286" t="inlineStr">
        <is>
          <t>avverkningsanmälan</t>
        </is>
      </c>
      <c r="C286" t="inlineStr">
        <is>
          <t>Föryngringsavverkning</t>
        </is>
      </c>
      <c r="D286" s="1" t="n">
        <v>46055</v>
      </c>
      <c r="E286" s="1" t="n">
        <v>46289</v>
      </c>
      <c r="F286" t="inlineStr">
        <is>
          <t>JÖNKÖPINGS LÄN</t>
        </is>
      </c>
      <c r="G286" t="inlineStr">
        <is>
          <t>VAGGERYD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38830-2026</t>
        </is>
      </c>
      <c r="B287" t="inlineStr">
        <is>
          <t>avverkningsanmälan</t>
        </is>
      </c>
      <c r="C287" t="inlineStr">
        <is>
          <t>Föryngringsavverkning</t>
        </is>
      </c>
      <c r="D287" s="1" t="n">
        <v>46286</v>
      </c>
      <c r="E287" s="1" t="n">
        <v>46289</v>
      </c>
      <c r="F287" t="inlineStr">
        <is>
          <t>JÖNKÖPINGS LÄN</t>
        </is>
      </c>
      <c r="G287" t="inlineStr">
        <is>
          <t>VAGGERYD</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6509-2026</t>
        </is>
      </c>
      <c r="B288" t="inlineStr">
        <is>
          <t>avverkningsanmälan</t>
        </is>
      </c>
      <c r="C288" t="inlineStr">
        <is>
          <t>Föryngringsavverkning</t>
        </is>
      </c>
      <c r="D288" s="1" t="n">
        <v>46056</v>
      </c>
      <c r="E288" s="1" t="n">
        <v>46289</v>
      </c>
      <c r="F288" t="inlineStr">
        <is>
          <t>JÖNKÖPINGS LÄN</t>
        </is>
      </c>
      <c r="G288" t="inlineStr">
        <is>
          <t>VAGGERYD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6451-2026</t>
        </is>
      </c>
      <c r="B289" t="inlineStr">
        <is>
          <t>avverkningsanmälan</t>
        </is>
      </c>
      <c r="C289" t="inlineStr">
        <is>
          <t>Föryngringsavverkning</t>
        </is>
      </c>
      <c r="D289" s="1" t="n">
        <v>46055</v>
      </c>
      <c r="E289" s="1" t="n">
        <v>46289</v>
      </c>
      <c r="F289" t="inlineStr">
        <is>
          <t>JÖNKÖPINGS LÄN</t>
        </is>
      </c>
      <c r="G289" t="inlineStr">
        <is>
          <t>VAGGERYD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16913-2024</t>
        </is>
      </c>
      <c r="B290" t="inlineStr">
        <is>
          <t>avverkningsanmälan</t>
        </is>
      </c>
      <c r="C290" t="inlineStr">
        <is>
          <t>Föryngringsavverkning</t>
        </is>
      </c>
      <c r="D290" s="1" t="n">
        <v>45411</v>
      </c>
      <c r="E290" s="1" t="n">
        <v>46289</v>
      </c>
      <c r="F290" t="inlineStr">
        <is>
          <t>JÖNKÖPINGS LÄN</t>
        </is>
      </c>
      <c r="G290" t="inlineStr">
        <is>
          <t>VAGGERYD</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35703-2024</t>
        </is>
      </c>
      <c r="B291" t="inlineStr">
        <is>
          <t>avverkningsanmälan</t>
        </is>
      </c>
      <c r="C291" t="inlineStr">
        <is>
          <t>Föryngringsavverkning</t>
        </is>
      </c>
      <c r="D291" s="1" t="n">
        <v>45532</v>
      </c>
      <c r="E291" s="1" t="n">
        <v>46289</v>
      </c>
      <c r="F291" t="inlineStr">
        <is>
          <t>JÖNKÖPINGS LÄN</t>
        </is>
      </c>
      <c r="G291" t="inlineStr">
        <is>
          <t>VAGGERYD</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46873-2024</t>
        </is>
      </c>
      <c r="B292" t="inlineStr">
        <is>
          <t>avverkningsanmälan</t>
        </is>
      </c>
      <c r="C292" t="inlineStr">
        <is>
          <t>Föryngringsavverkning</t>
        </is>
      </c>
      <c r="D292" s="1" t="n">
        <v>45583</v>
      </c>
      <c r="E292" s="1" t="n">
        <v>46289</v>
      </c>
      <c r="F292" t="inlineStr">
        <is>
          <t>JÖNKÖPINGS LÄN</t>
        </is>
      </c>
      <c r="G292" t="inlineStr">
        <is>
          <t>VAGGERYD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38767-2026</t>
        </is>
      </c>
      <c r="B293" t="inlineStr">
        <is>
          <t>avverkningsanmälan</t>
        </is>
      </c>
      <c r="C293" t="inlineStr">
        <is>
          <t>Föryngringsavverkning</t>
        </is>
      </c>
      <c r="D293" s="1" t="n">
        <v>46286</v>
      </c>
      <c r="E293" s="1" t="n">
        <v>46289</v>
      </c>
      <c r="F293" t="inlineStr">
        <is>
          <t>JÖNKÖPINGS LÄN</t>
        </is>
      </c>
      <c r="G293" t="inlineStr">
        <is>
          <t>VAGGERYD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40887-2024</t>
        </is>
      </c>
      <c r="B294" t="inlineStr">
        <is>
          <t>avverkningsanmälan</t>
        </is>
      </c>
      <c r="C294" t="inlineStr">
        <is>
          <t>Avverkning för att bevara och utveckla /försöksver</t>
        </is>
      </c>
      <c r="D294" s="1" t="n">
        <v>45558</v>
      </c>
      <c r="E294" s="1" t="n">
        <v>46289</v>
      </c>
      <c r="F294" t="inlineStr">
        <is>
          <t>JÖNKÖPINGS LÄN</t>
        </is>
      </c>
      <c r="G294" t="inlineStr">
        <is>
          <t>VAGGERYD</t>
        </is>
      </c>
      <c r="H294" t="inlineStr">
        <is>
          <t>Sveaskog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21490-2022</t>
        </is>
      </c>
      <c r="B295" t="inlineStr">
        <is>
          <t>avverkningsanmälan</t>
        </is>
      </c>
      <c r="C295" t="inlineStr">
        <is>
          <t>Föryngringsavverkning</t>
        </is>
      </c>
      <c r="D295" s="1" t="n">
        <v>44706</v>
      </c>
      <c r="E295" s="1" t="n">
        <v>46289</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9826-2026</t>
        </is>
      </c>
      <c r="B296" t="inlineStr">
        <is>
          <t>avverkningsanmälan</t>
        </is>
      </c>
      <c r="C296" t="inlineStr">
        <is>
          <t>Föryngringsavverkning</t>
        </is>
      </c>
      <c r="D296" s="1" t="n">
        <v>46071</v>
      </c>
      <c r="E296" s="1" t="n">
        <v>46289</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39090-2026</t>
        </is>
      </c>
      <c r="B297" t="inlineStr">
        <is>
          <t>avverkningsanmälan</t>
        </is>
      </c>
      <c r="C297" t="inlineStr">
        <is>
          <t>Föryngringsavverkning</t>
        </is>
      </c>
      <c r="D297" s="1" t="n">
        <v>46283</v>
      </c>
      <c r="E297" s="1" t="n">
        <v>46289</v>
      </c>
      <c r="F297" t="inlineStr">
        <is>
          <t>JÖNKÖPINGS LÄN</t>
        </is>
      </c>
      <c r="G297" t="inlineStr">
        <is>
          <t>VAGGERYD</t>
        </is>
      </c>
      <c r="H297" t="inlineStr">
        <is>
          <t>Kyrkan</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9700-2026</t>
        </is>
      </c>
      <c r="B298" t="inlineStr">
        <is>
          <t>avverkningsanmälan</t>
        </is>
      </c>
      <c r="C298" t="inlineStr">
        <is>
          <t>Föryngringsavverkning</t>
        </is>
      </c>
      <c r="D298" s="1" t="n">
        <v>46072</v>
      </c>
      <c r="E298" s="1" t="n">
        <v>46289</v>
      </c>
      <c r="F298" t="inlineStr">
        <is>
          <t>JÖNKÖPINGS LÄN</t>
        </is>
      </c>
      <c r="G298" t="inlineStr">
        <is>
          <t>VAGGERYD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59746-2022</t>
        </is>
      </c>
      <c r="B299" t="inlineStr">
        <is>
          <t>avverkningsanmälan</t>
        </is>
      </c>
      <c r="C299" t="inlineStr">
        <is>
          <t>Föryngringsavverkning</t>
        </is>
      </c>
      <c r="D299" s="1" t="n">
        <v>44900</v>
      </c>
      <c r="E299" s="1" t="n">
        <v>46289</v>
      </c>
      <c r="F299" t="inlineStr">
        <is>
          <t>JÖNKÖPINGS LÄN</t>
        </is>
      </c>
      <c r="G299" t="inlineStr">
        <is>
          <t>VAGGERYD</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15263-2024</t>
        </is>
      </c>
      <c r="B300" t="inlineStr">
        <is>
          <t>avverkningsanmälan</t>
        </is>
      </c>
      <c r="C300" t="inlineStr">
        <is>
          <t>Föryngringsavverkning</t>
        </is>
      </c>
      <c r="D300" s="1" t="n">
        <v>45400</v>
      </c>
      <c r="E300" s="1" t="n">
        <v>46289</v>
      </c>
      <c r="F300" t="inlineStr">
        <is>
          <t>JÖNKÖPINGS LÄN</t>
        </is>
      </c>
      <c r="G300" t="inlineStr">
        <is>
          <t>VAGGERYD</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53780-2021</t>
        </is>
      </c>
      <c r="B301" t="inlineStr">
        <is>
          <t>avverkningsanmälan</t>
        </is>
      </c>
      <c r="C301" t="inlineStr">
        <is>
          <t>Föryngringsavverkning</t>
        </is>
      </c>
      <c r="D301" s="1" t="n">
        <v>44469</v>
      </c>
      <c r="E301" s="1" t="n">
        <v>46289</v>
      </c>
      <c r="F301" t="inlineStr">
        <is>
          <t>JÖNKÖPINGS LÄN</t>
        </is>
      </c>
      <c r="G301" t="inlineStr">
        <is>
          <t>VAGGERYD</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31197-2022</t>
        </is>
      </c>
      <c r="B302" t="inlineStr">
        <is>
          <t>avverkningsanmälan</t>
        </is>
      </c>
      <c r="C302" t="inlineStr">
        <is>
          <t>Föryngringsavverkning</t>
        </is>
      </c>
      <c r="D302" s="1" t="n">
        <v>44770</v>
      </c>
      <c r="E302" s="1" t="n">
        <v>46289</v>
      </c>
      <c r="F302" t="inlineStr">
        <is>
          <t>JÖNKÖPINGS LÄN</t>
        </is>
      </c>
      <c r="G302" t="inlineStr">
        <is>
          <t>VAGGERYD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19435-2022</t>
        </is>
      </c>
      <c r="B303" t="inlineStr">
        <is>
          <t>avverkningsanmälan</t>
        </is>
      </c>
      <c r="C303" t="inlineStr">
        <is>
          <t>Föryngringsavverkning</t>
        </is>
      </c>
      <c r="D303" s="1" t="n">
        <v>44693</v>
      </c>
      <c r="E303" s="1" t="n">
        <v>46289</v>
      </c>
      <c r="F303" t="inlineStr">
        <is>
          <t>JÖNKÖPINGS LÄN</t>
        </is>
      </c>
      <c r="G303" t="inlineStr">
        <is>
          <t>VAGGERYD</t>
        </is>
      </c>
      <c r="H303" t="inlineStr">
        <is>
          <t>Övriga statliga verk och myndigheter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39091-2026</t>
        </is>
      </c>
      <c r="B304" t="inlineStr">
        <is>
          <t>avverkningsanmälan</t>
        </is>
      </c>
      <c r="C304" t="inlineStr">
        <is>
          <t>Föryngringsavverkning</t>
        </is>
      </c>
      <c r="D304" s="1" t="n">
        <v>46283</v>
      </c>
      <c r="E304" s="1" t="n">
        <v>46289</v>
      </c>
      <c r="F304" t="inlineStr">
        <is>
          <t>JÖNKÖPINGS LÄN</t>
        </is>
      </c>
      <c r="G304" t="inlineStr">
        <is>
          <t>VAGGERYD</t>
        </is>
      </c>
      <c r="H304" t="inlineStr">
        <is>
          <t>Kyrkan</t>
        </is>
      </c>
      <c r="I304" t="n">
        <v>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13860-2024</t>
        </is>
      </c>
      <c r="B305" t="inlineStr">
        <is>
          <t>avverkningsanmälan</t>
        </is>
      </c>
      <c r="C305" t="inlineStr">
        <is>
          <t>Föryngringsavverkning</t>
        </is>
      </c>
      <c r="D305" s="1" t="n">
        <v>45390</v>
      </c>
      <c r="E305" s="1" t="n">
        <v>46289</v>
      </c>
      <c r="F305" t="inlineStr">
        <is>
          <t>JÖNKÖPINGS LÄN</t>
        </is>
      </c>
      <c r="G305" t="inlineStr">
        <is>
          <t>VAGGERYD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24382-2022</t>
        </is>
      </c>
      <c r="B306" t="inlineStr">
        <is>
          <t>avverkningsanmälan</t>
        </is>
      </c>
      <c r="C306" t="inlineStr">
        <is>
          <t>Avverkning för annat ändamål</t>
        </is>
      </c>
      <c r="D306" s="1" t="n">
        <v>44726</v>
      </c>
      <c r="E306" s="1" t="n">
        <v>46289</v>
      </c>
      <c r="F306" t="inlineStr">
        <is>
          <t>JÖNKÖPINGS LÄN</t>
        </is>
      </c>
      <c r="G306" t="inlineStr">
        <is>
          <t>VAGGERYD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38953-2026</t>
        </is>
      </c>
      <c r="B307" t="inlineStr">
        <is>
          <t>avverkningsanmälan</t>
        </is>
      </c>
      <c r="C307" t="inlineStr">
        <is>
          <t>Föryngringsavverkning</t>
        </is>
      </c>
      <c r="D307" s="1" t="n">
        <v>46282</v>
      </c>
      <c r="E307" s="1" t="n">
        <v>46289</v>
      </c>
      <c r="F307" t="inlineStr">
        <is>
          <t>JÖNKÖPINGS LÄN</t>
        </is>
      </c>
      <c r="G307" t="inlineStr">
        <is>
          <t>VAGGERYD</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11652-2026</t>
        </is>
      </c>
      <c r="B308" t="inlineStr">
        <is>
          <t>avverkningsanmälan</t>
        </is>
      </c>
      <c r="C308" t="inlineStr">
        <is>
          <t>Föryngringsavverkning</t>
        </is>
      </c>
      <c r="D308" s="1" t="n">
        <v>46084</v>
      </c>
      <c r="E308" s="1" t="n">
        <v>46289</v>
      </c>
      <c r="F308" t="inlineStr">
        <is>
          <t>JÖNKÖPINGS LÄN</t>
        </is>
      </c>
      <c r="G308" t="inlineStr">
        <is>
          <t>VAGGERYD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11657-2026</t>
        </is>
      </c>
      <c r="B309" t="inlineStr">
        <is>
          <t>avverkningsanmälan</t>
        </is>
      </c>
      <c r="C309" t="inlineStr">
        <is>
          <t>Föryngringsavverkning</t>
        </is>
      </c>
      <c r="D309" s="1" t="n">
        <v>46084</v>
      </c>
      <c r="E309" s="1" t="n">
        <v>46289</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11663-2026</t>
        </is>
      </c>
      <c r="B310" t="inlineStr">
        <is>
          <t>avverkningsanmälan</t>
        </is>
      </c>
      <c r="C310" t="inlineStr">
        <is>
          <t>Föryngringsavverkning</t>
        </is>
      </c>
      <c r="D310" s="1" t="n">
        <v>46084</v>
      </c>
      <c r="E310" s="1" t="n">
        <v>46289</v>
      </c>
      <c r="F310" t="inlineStr">
        <is>
          <t>JÖNKÖPINGS LÄN</t>
        </is>
      </c>
      <c r="G310" t="inlineStr">
        <is>
          <t>VAGGERYD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11660-2026</t>
        </is>
      </c>
      <c r="B311" t="inlineStr">
        <is>
          <t>avverkningsanmälan</t>
        </is>
      </c>
      <c r="C311" t="inlineStr">
        <is>
          <t>Föryngringsavverkning</t>
        </is>
      </c>
      <c r="D311" s="1" t="n">
        <v>46084</v>
      </c>
      <c r="E311" s="1" t="n">
        <v>46289</v>
      </c>
      <c r="F311" t="inlineStr">
        <is>
          <t>JÖNKÖPINGS LÄN</t>
        </is>
      </c>
      <c r="G311" t="inlineStr">
        <is>
          <t>VAGGERYD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12129-2026</t>
        </is>
      </c>
      <c r="B312" t="inlineStr">
        <is>
          <t>avverkningsanmälan</t>
        </is>
      </c>
      <c r="C312" t="inlineStr">
        <is>
          <t>Föryngringsavverkning</t>
        </is>
      </c>
      <c r="D312" s="1" t="n">
        <v>46086</v>
      </c>
      <c r="E312" s="1" t="n">
        <v>46289</v>
      </c>
      <c r="F312" t="inlineStr">
        <is>
          <t>JÖNKÖPINGS LÄN</t>
        </is>
      </c>
      <c r="G312" t="inlineStr">
        <is>
          <t>VAGGERYD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12060-2026</t>
        </is>
      </c>
      <c r="B313" t="inlineStr">
        <is>
          <t>avverkningsanmälan</t>
        </is>
      </c>
      <c r="C313" t="inlineStr">
        <is>
          <t>Föryngringsavverkning</t>
        </is>
      </c>
      <c r="D313" s="1" t="n">
        <v>46086</v>
      </c>
      <c r="E313" s="1" t="n">
        <v>46289</v>
      </c>
      <c r="F313" t="inlineStr">
        <is>
          <t>JÖNKÖPINGS LÄN</t>
        </is>
      </c>
      <c r="G313" t="inlineStr">
        <is>
          <t>VAGGERYD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20059-2024</t>
        </is>
      </c>
      <c r="B314" t="inlineStr">
        <is>
          <t>avverkningsanmälan</t>
        </is>
      </c>
      <c r="C314" t="inlineStr">
        <is>
          <t>Föryngringsavverkning</t>
        </is>
      </c>
      <c r="D314" s="1" t="n">
        <v>45434</v>
      </c>
      <c r="E314" s="1" t="n">
        <v>46289</v>
      </c>
      <c r="F314" t="inlineStr">
        <is>
          <t>JÖNKÖPINGS LÄN</t>
        </is>
      </c>
      <c r="G314" t="inlineStr">
        <is>
          <t>VAGGERYD</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12078-2026</t>
        </is>
      </c>
      <c r="B315" t="inlineStr">
        <is>
          <t>avverkningsanmälan</t>
        </is>
      </c>
      <c r="C315" t="inlineStr">
        <is>
          <t>Föryngringsavverkning</t>
        </is>
      </c>
      <c r="D315" s="1" t="n">
        <v>46086</v>
      </c>
      <c r="E315" s="1" t="n">
        <v>46289</v>
      </c>
      <c r="F315" t="inlineStr">
        <is>
          <t>JÖNKÖPINGS LÄN</t>
        </is>
      </c>
      <c r="G315" t="inlineStr">
        <is>
          <t>VAGGERYD</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57306-2022</t>
        </is>
      </c>
      <c r="B316" t="inlineStr">
        <is>
          <t>avverkningsanmälan</t>
        </is>
      </c>
      <c r="C316" t="inlineStr">
        <is>
          <t>Föryngringsavverkning</t>
        </is>
      </c>
      <c r="D316" s="1" t="n">
        <v>44896</v>
      </c>
      <c r="E316" s="1" t="n">
        <v>46289</v>
      </c>
      <c r="F316" t="inlineStr">
        <is>
          <t>JÖNKÖPINGS LÄN</t>
        </is>
      </c>
      <c r="G316" t="inlineStr">
        <is>
          <t>VAGGERYD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34091-2025</t>
        </is>
      </c>
      <c r="B317" t="inlineStr">
        <is>
          <t>avverkningsanmälan</t>
        </is>
      </c>
      <c r="C317" t="inlineStr">
        <is>
          <t>Föryngringsavverkning</t>
        </is>
      </c>
      <c r="D317" s="1" t="n">
        <v>45845</v>
      </c>
      <c r="E317" s="1" t="n">
        <v>46289</v>
      </c>
      <c r="F317" t="inlineStr">
        <is>
          <t>JÖNKÖPINGS LÄN</t>
        </is>
      </c>
      <c r="G317" t="inlineStr">
        <is>
          <t>VAGGERYD</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40333-2023</t>
        </is>
      </c>
      <c r="B318" t="inlineStr">
        <is>
          <t>avverkningsanmälan</t>
        </is>
      </c>
      <c r="C318" t="inlineStr">
        <is>
          <t>Avverkning för annat ändamål</t>
        </is>
      </c>
      <c r="D318" s="1" t="n">
        <v>45169</v>
      </c>
      <c r="E318" s="1" t="n">
        <v>46289</v>
      </c>
      <c r="F318" t="inlineStr">
        <is>
          <t>JÖNKÖPINGS LÄN</t>
        </is>
      </c>
      <c r="G318" t="inlineStr">
        <is>
          <t>VAGGERYD</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40858-2024</t>
        </is>
      </c>
      <c r="B319" t="inlineStr">
        <is>
          <t>avverkningsanmälan</t>
        </is>
      </c>
      <c r="C319" t="inlineStr">
        <is>
          <t>Föryngringsavverkning</t>
        </is>
      </c>
      <c r="D319" s="1" t="n">
        <v>45558</v>
      </c>
      <c r="E319" s="1" t="n">
        <v>46289</v>
      </c>
      <c r="F319" t="inlineStr">
        <is>
          <t>JÖNKÖPINGS LÄN</t>
        </is>
      </c>
      <c r="G319" t="inlineStr">
        <is>
          <t>VAGGERYD</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4188-2023</t>
        </is>
      </c>
      <c r="B320" t="inlineStr">
        <is>
          <t>avverkningsanmälan</t>
        </is>
      </c>
      <c r="C320" t="inlineStr">
        <is>
          <t>Föryngringsavverkning</t>
        </is>
      </c>
      <c r="D320" s="1" t="n">
        <v>44953</v>
      </c>
      <c r="E320" s="1" t="n">
        <v>46289</v>
      </c>
      <c r="F320" t="inlineStr">
        <is>
          <t>JÖNKÖPINGS LÄN</t>
        </is>
      </c>
      <c r="G320" t="inlineStr">
        <is>
          <t>VAGGERYD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14418-2023</t>
        </is>
      </c>
      <c r="B321" t="inlineStr">
        <is>
          <t>avverkningsanmälan</t>
        </is>
      </c>
      <c r="C321" t="inlineStr">
        <is>
          <t>Föryngringsavverkning</t>
        </is>
      </c>
      <c r="D321" s="1" t="n">
        <v>45012</v>
      </c>
      <c r="E321" s="1" t="n">
        <v>46289</v>
      </c>
      <c r="F321" t="inlineStr">
        <is>
          <t>JÖNKÖPINGS LÄN</t>
        </is>
      </c>
      <c r="G321" t="inlineStr">
        <is>
          <t>VAGGERYD</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14422-2023</t>
        </is>
      </c>
      <c r="B322" t="inlineStr">
        <is>
          <t>avverkningsanmälan</t>
        </is>
      </c>
      <c r="C322" t="inlineStr">
        <is>
          <t>Föryngringsavverkning</t>
        </is>
      </c>
      <c r="D322" s="1" t="n">
        <v>45012</v>
      </c>
      <c r="E322" s="1" t="n">
        <v>46289</v>
      </c>
      <c r="F322" t="inlineStr">
        <is>
          <t>JÖNKÖPINGS LÄN</t>
        </is>
      </c>
      <c r="G322" t="inlineStr">
        <is>
          <t>VAGGERYD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18515-2025</t>
        </is>
      </c>
      <c r="B323" t="inlineStr">
        <is>
          <t>avverkningsanmälan</t>
        </is>
      </c>
      <c r="C323" t="inlineStr">
        <is>
          <t>Föryngringsavverkning</t>
        </is>
      </c>
      <c r="D323" s="1" t="n">
        <v>45763</v>
      </c>
      <c r="E323" s="1" t="n">
        <v>46289</v>
      </c>
      <c r="F323" t="inlineStr">
        <is>
          <t>JÖNKÖPINGS LÄN</t>
        </is>
      </c>
      <c r="G323" t="inlineStr">
        <is>
          <t>VAGGERYD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7555-2023</t>
        </is>
      </c>
      <c r="B324" t="inlineStr">
        <is>
          <t>avverkningsanmälan</t>
        </is>
      </c>
      <c r="C324" t="inlineStr">
        <is>
          <t>Föryngringsavverkning</t>
        </is>
      </c>
      <c r="D324" s="1" t="n">
        <v>44972</v>
      </c>
      <c r="E324" s="1" t="n">
        <v>46289</v>
      </c>
      <c r="F324" t="inlineStr">
        <is>
          <t>JÖNKÖPINGS LÄN</t>
        </is>
      </c>
      <c r="G324" t="inlineStr">
        <is>
          <t>VAGGERYD</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59187-2022</t>
        </is>
      </c>
      <c r="B325" t="inlineStr">
        <is>
          <t>avverkningsanmälan</t>
        </is>
      </c>
      <c r="C325" t="inlineStr">
        <is>
          <t>Föryngringsavverkning</t>
        </is>
      </c>
      <c r="D325" s="1" t="n">
        <v>44904</v>
      </c>
      <c r="E325" s="1" t="n">
        <v>46289</v>
      </c>
      <c r="F325" t="inlineStr">
        <is>
          <t>JÖNKÖPINGS LÄN</t>
        </is>
      </c>
      <c r="G325" t="inlineStr">
        <is>
          <t>VAGGERYD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60326-2022</t>
        </is>
      </c>
      <c r="B326" t="inlineStr">
        <is>
          <t>avverkningsanmälan</t>
        </is>
      </c>
      <c r="C326" t="inlineStr">
        <is>
          <t>Föryngringsavverkning</t>
        </is>
      </c>
      <c r="D326" s="1" t="n">
        <v>44910</v>
      </c>
      <c r="E326" s="1" t="n">
        <v>46289</v>
      </c>
      <c r="F326" t="inlineStr">
        <is>
          <t>JÖNKÖPINGS LÄN</t>
        </is>
      </c>
      <c r="G326" t="inlineStr">
        <is>
          <t>VAGGERYD</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35570-2025</t>
        </is>
      </c>
      <c r="B327" t="inlineStr">
        <is>
          <t>avverkningsanmälan</t>
        </is>
      </c>
      <c r="C327" t="inlineStr">
        <is>
          <t>Föryngringsavverkning</t>
        </is>
      </c>
      <c r="D327" s="1" t="n">
        <v>45856</v>
      </c>
      <c r="E327" s="1" t="n">
        <v>46289</v>
      </c>
      <c r="F327" t="inlineStr">
        <is>
          <t>JÖNKÖPINGS LÄN</t>
        </is>
      </c>
      <c r="G327" t="inlineStr">
        <is>
          <t>VAGGERYD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14820-2026</t>
        </is>
      </c>
      <c r="B328" t="inlineStr">
        <is>
          <t>avverkningsanmälan</t>
        </is>
      </c>
      <c r="C328" t="inlineStr">
        <is>
          <t>Föryngringsavverkning</t>
        </is>
      </c>
      <c r="D328" s="1" t="n">
        <v>46104</v>
      </c>
      <c r="E328" s="1" t="n">
        <v>46289</v>
      </c>
      <c r="F328" t="inlineStr">
        <is>
          <t>JÖNKÖPINGS LÄN</t>
        </is>
      </c>
      <c r="G328" t="inlineStr">
        <is>
          <t>VAGGERYD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15135-2026</t>
        </is>
      </c>
      <c r="B329" t="inlineStr">
        <is>
          <t>avverkningsanmälan</t>
        </is>
      </c>
      <c r="C329" t="inlineStr">
        <is>
          <t>Föryngringsavverkning</t>
        </is>
      </c>
      <c r="D329" s="1" t="n">
        <v>46105</v>
      </c>
      <c r="E329" s="1" t="n">
        <v>46289</v>
      </c>
      <c r="F329" t="inlineStr">
        <is>
          <t>JÖNKÖPINGS LÄN</t>
        </is>
      </c>
      <c r="G329" t="inlineStr">
        <is>
          <t>VAGGERYD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35459-2024</t>
        </is>
      </c>
      <c r="B330" t="inlineStr">
        <is>
          <t>avverkningsanmälan</t>
        </is>
      </c>
      <c r="C330" t="inlineStr">
        <is>
          <t>Föryngringsavverkning</t>
        </is>
      </c>
      <c r="D330" s="1" t="n">
        <v>45531</v>
      </c>
      <c r="E330" s="1" t="n">
        <v>46289</v>
      </c>
      <c r="F330" t="inlineStr">
        <is>
          <t>JÖNKÖPINGS LÄN</t>
        </is>
      </c>
      <c r="G330" t="inlineStr">
        <is>
          <t>VAGGERYD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3221-2023</t>
        </is>
      </c>
      <c r="B331" t="inlineStr">
        <is>
          <t>avverkningsanmälan</t>
        </is>
      </c>
      <c r="C331" t="inlineStr">
        <is>
          <t>Avverkning för annat ändamål</t>
        </is>
      </c>
      <c r="D331" s="1" t="n">
        <v>44946</v>
      </c>
      <c r="E331" s="1" t="n">
        <v>46289</v>
      </c>
      <c r="F331" t="inlineStr">
        <is>
          <t>JÖNKÖPINGS LÄN</t>
        </is>
      </c>
      <c r="G331" t="inlineStr">
        <is>
          <t>VAGGERYD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58925-2024</t>
        </is>
      </c>
      <c r="B332" t="inlineStr">
        <is>
          <t>avverkningsanmälan</t>
        </is>
      </c>
      <c r="C332" t="inlineStr">
        <is>
          <t>Avverkning för att bevara och utveckla /försöksver</t>
        </is>
      </c>
      <c r="D332" s="1" t="n">
        <v>45636</v>
      </c>
      <c r="E332" s="1" t="n">
        <v>46289</v>
      </c>
      <c r="F332" t="inlineStr">
        <is>
          <t>JÖNKÖPINGS LÄN</t>
        </is>
      </c>
      <c r="G332" t="inlineStr">
        <is>
          <t>VAGGERYD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51264-2022</t>
        </is>
      </c>
      <c r="B333" t="inlineStr">
        <is>
          <t>avverkningsanmälan</t>
        </is>
      </c>
      <c r="C333" t="inlineStr">
        <is>
          <t>Föryngringsavverkning</t>
        </is>
      </c>
      <c r="D333" s="1" t="n">
        <v>44866</v>
      </c>
      <c r="E333" s="1" t="n">
        <v>46289</v>
      </c>
      <c r="F333" t="inlineStr">
        <is>
          <t>JÖNKÖPINGS LÄN</t>
        </is>
      </c>
      <c r="G333" t="inlineStr">
        <is>
          <t>VAGGERYD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56467-2023</t>
        </is>
      </c>
      <c r="B334" t="inlineStr">
        <is>
          <t>avverkningsanmälan</t>
        </is>
      </c>
      <c r="C334" t="inlineStr">
        <is>
          <t>Föryngringsavverkning</t>
        </is>
      </c>
      <c r="D334" s="1" t="n">
        <v>45243</v>
      </c>
      <c r="E334" s="1" t="n">
        <v>46289</v>
      </c>
      <c r="F334" t="inlineStr">
        <is>
          <t>JÖNKÖPINGS LÄN</t>
        </is>
      </c>
      <c r="G334" t="inlineStr">
        <is>
          <t>VAGGERYD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16915-2026</t>
        </is>
      </c>
      <c r="B335" t="inlineStr">
        <is>
          <t>avverkningsanmälan</t>
        </is>
      </c>
      <c r="C335" t="inlineStr">
        <is>
          <t>Föryngringsavverkning</t>
        </is>
      </c>
      <c r="D335" s="1" t="n">
        <v>46113</v>
      </c>
      <c r="E335" s="1" t="n">
        <v>46289</v>
      </c>
      <c r="F335" t="inlineStr">
        <is>
          <t>JÖNKÖPINGS LÄN</t>
        </is>
      </c>
      <c r="G335" t="inlineStr">
        <is>
          <t>VAGGERYD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19885-2023</t>
        </is>
      </c>
      <c r="B336" t="inlineStr">
        <is>
          <t>avverkningsanmälan</t>
        </is>
      </c>
      <c r="C336" t="inlineStr">
        <is>
          <t>Föryngringsavverkning</t>
        </is>
      </c>
      <c r="D336" s="1" t="n">
        <v>45054</v>
      </c>
      <c r="E336" s="1" t="n">
        <v>46289</v>
      </c>
      <c r="F336" t="inlineStr">
        <is>
          <t>JÖNKÖPINGS LÄN</t>
        </is>
      </c>
      <c r="G336" t="inlineStr">
        <is>
          <t>VAGGERYD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19889-2023</t>
        </is>
      </c>
      <c r="B337" t="inlineStr">
        <is>
          <t>avverkningsanmälan</t>
        </is>
      </c>
      <c r="C337" t="inlineStr">
        <is>
          <t>Föryngringsavverkning</t>
        </is>
      </c>
      <c r="D337" s="1" t="n">
        <v>45054</v>
      </c>
      <c r="E337" s="1" t="n">
        <v>46289</v>
      </c>
      <c r="F337" t="inlineStr">
        <is>
          <t>JÖNKÖPINGS LÄN</t>
        </is>
      </c>
      <c r="G337" t="inlineStr">
        <is>
          <t>VAGGERYD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2027-2025</t>
        </is>
      </c>
      <c r="B338" t="inlineStr">
        <is>
          <t>avverkningsanmälan</t>
        </is>
      </c>
      <c r="C338" t="inlineStr">
        <is>
          <t>Föryngringsavverkning</t>
        </is>
      </c>
      <c r="D338" s="1" t="n">
        <v>45672</v>
      </c>
      <c r="E338" s="1" t="n">
        <v>46289</v>
      </c>
      <c r="F338" t="inlineStr">
        <is>
          <t>JÖNKÖPINGS LÄN</t>
        </is>
      </c>
      <c r="G338" t="inlineStr">
        <is>
          <t>VAGGERYD</t>
        </is>
      </c>
      <c r="H338" t="inlineStr">
        <is>
          <t>Sveaskog</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40685-2022</t>
        </is>
      </c>
      <c r="B339" t="inlineStr">
        <is>
          <t>avverkningsanmälan</t>
        </is>
      </c>
      <c r="C339" t="inlineStr">
        <is>
          <t>Föryngringsavverkning</t>
        </is>
      </c>
      <c r="D339" s="1" t="n">
        <v>44824</v>
      </c>
      <c r="E339" s="1" t="n">
        <v>46289</v>
      </c>
      <c r="F339" t="inlineStr">
        <is>
          <t>JÖNKÖPINGS LÄN</t>
        </is>
      </c>
      <c r="G339" t="inlineStr">
        <is>
          <t>VAGGERYD</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18148-2026</t>
        </is>
      </c>
      <c r="B340" t="inlineStr">
        <is>
          <t>avverkningsanmälan</t>
        </is>
      </c>
      <c r="C340" t="inlineStr">
        <is>
          <t>Föryngringsavverkning</t>
        </is>
      </c>
      <c r="D340" s="1" t="n">
        <v>46125</v>
      </c>
      <c r="E340" s="1" t="n">
        <v>46289</v>
      </c>
      <c r="F340" t="inlineStr">
        <is>
          <t>JÖNKÖPINGS LÄN</t>
        </is>
      </c>
      <c r="G340" t="inlineStr">
        <is>
          <t>VAGGERYD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59553-2023</t>
        </is>
      </c>
      <c r="B341" t="inlineStr">
        <is>
          <t>avverkningsanmälan</t>
        </is>
      </c>
      <c r="C341" t="inlineStr">
        <is>
          <t>Föryngringsavverkning</t>
        </is>
      </c>
      <c r="D341" s="1" t="n">
        <v>45254</v>
      </c>
      <c r="E341" s="1" t="n">
        <v>46289</v>
      </c>
      <c r="F341" t="inlineStr">
        <is>
          <t>JÖNKÖPINGS LÄN</t>
        </is>
      </c>
      <c r="G341" t="inlineStr">
        <is>
          <t>VAGGERYD</t>
        </is>
      </c>
      <c r="H341" t="inlineStr">
        <is>
          <t>Sveaskog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8690-2024</t>
        </is>
      </c>
      <c r="B342" t="inlineStr">
        <is>
          <t>avverkningsanmälan</t>
        </is>
      </c>
      <c r="C342" t="inlineStr">
        <is>
          <t>Föryngringsavverkning</t>
        </is>
      </c>
      <c r="D342" s="1" t="n">
        <v>45356</v>
      </c>
      <c r="E342" s="1" t="n">
        <v>46289</v>
      </c>
      <c r="F342" t="inlineStr">
        <is>
          <t>JÖNKÖPINGS LÄN</t>
        </is>
      </c>
      <c r="G342" t="inlineStr">
        <is>
          <t>VAGGERYD</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9507-2024</t>
        </is>
      </c>
      <c r="B343" t="inlineStr">
        <is>
          <t>avverkningsanmälan</t>
        </is>
      </c>
      <c r="C343" t="inlineStr">
        <is>
          <t>Föryngringsavverkning</t>
        </is>
      </c>
      <c r="D343" s="1" t="n">
        <v>45359</v>
      </c>
      <c r="E343" s="1" t="n">
        <v>46289</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36748-2023</t>
        </is>
      </c>
      <c r="B344" t="inlineStr">
        <is>
          <t>avverkningsanmälan</t>
        </is>
      </c>
      <c r="C344" t="inlineStr">
        <is>
          <t>Föryngringsavverkning</t>
        </is>
      </c>
      <c r="D344" s="1" t="n">
        <v>45153</v>
      </c>
      <c r="E344" s="1" t="n">
        <v>46289</v>
      </c>
      <c r="F344" t="inlineStr">
        <is>
          <t>JÖNKÖPINGS LÄN</t>
        </is>
      </c>
      <c r="G344" t="inlineStr">
        <is>
          <t>VAGGERYD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16611-2025</t>
        </is>
      </c>
      <c r="B345" t="inlineStr">
        <is>
          <t>avverkningsanmälan</t>
        </is>
      </c>
      <c r="C345" t="inlineStr">
        <is>
          <t>Föryngringsavverkning</t>
        </is>
      </c>
      <c r="D345" s="1" t="n">
        <v>45753</v>
      </c>
      <c r="E345" s="1" t="n">
        <v>46289</v>
      </c>
      <c r="F345" t="inlineStr">
        <is>
          <t>JÖNKÖPINGS LÄN</t>
        </is>
      </c>
      <c r="G345" t="inlineStr">
        <is>
          <t>VAGGERYD</t>
        </is>
      </c>
      <c r="H345" t="inlineStr">
        <is>
          <t>Sveaskog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35036-2023</t>
        </is>
      </c>
      <c r="B346" t="inlineStr">
        <is>
          <t>avverkningsanmälan</t>
        </is>
      </c>
      <c r="C346" t="inlineStr">
        <is>
          <t>Föryngringsavverkning</t>
        </is>
      </c>
      <c r="D346" s="1" t="n">
        <v>45145</v>
      </c>
      <c r="E346" s="1" t="n">
        <v>46289</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19116-2023</t>
        </is>
      </c>
      <c r="B347" t="inlineStr">
        <is>
          <t>avverkningsanmälan</t>
        </is>
      </c>
      <c r="C347" t="inlineStr">
        <is>
          <t>Föryngringsavverkning</t>
        </is>
      </c>
      <c r="D347" s="1" t="n">
        <v>45048</v>
      </c>
      <c r="E347" s="1" t="n">
        <v>46289</v>
      </c>
      <c r="F347" t="inlineStr">
        <is>
          <t>JÖNKÖPINGS LÄN</t>
        </is>
      </c>
      <c r="G347" t="inlineStr">
        <is>
          <t>VAGGERYD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51747-2024</t>
        </is>
      </c>
      <c r="B348" t="inlineStr">
        <is>
          <t>avverkningsanmälan</t>
        </is>
      </c>
      <c r="C348" t="inlineStr">
        <is>
          <t>Föryngringsavverkning</t>
        </is>
      </c>
      <c r="D348" s="1" t="n">
        <v>45607</v>
      </c>
      <c r="E348" s="1" t="n">
        <v>46289</v>
      </c>
      <c r="F348" t="inlineStr">
        <is>
          <t>JÖNKÖPINGS LÄN</t>
        </is>
      </c>
      <c r="G348" t="inlineStr">
        <is>
          <t>VAGGERYD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36328-2023</t>
        </is>
      </c>
      <c r="B349" t="inlineStr">
        <is>
          <t>avverkningsanmälan</t>
        </is>
      </c>
      <c r="C349" t="inlineStr">
        <is>
          <t>Avverkning för annat ändamål</t>
        </is>
      </c>
      <c r="D349" s="1" t="n">
        <v>45149</v>
      </c>
      <c r="E349" s="1" t="n">
        <v>46289</v>
      </c>
      <c r="F349" t="inlineStr">
        <is>
          <t>JÖNKÖPINGS LÄN</t>
        </is>
      </c>
      <c r="G349" t="inlineStr">
        <is>
          <t>VAGGERYD</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42162-2025</t>
        </is>
      </c>
      <c r="B350" t="inlineStr">
        <is>
          <t>avverkningsanmälan</t>
        </is>
      </c>
      <c r="C350" t="inlineStr">
        <is>
          <t>Föryngringsavverkning</t>
        </is>
      </c>
      <c r="D350" s="1" t="n">
        <v>45904</v>
      </c>
      <c r="E350" s="1" t="n">
        <v>46289</v>
      </c>
      <c r="F350" t="inlineStr">
        <is>
          <t>JÖNKÖPINGS LÄN</t>
        </is>
      </c>
      <c r="G350" t="inlineStr">
        <is>
          <t>VAGGERYD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46289</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57993-2023</t>
        </is>
      </c>
      <c r="B352" t="inlineStr">
        <is>
          <t>avverkningsanmälan</t>
        </is>
      </c>
      <c r="C352" t="inlineStr">
        <is>
          <t>Föryngringsavverkning</t>
        </is>
      </c>
      <c r="D352" s="1" t="n">
        <v>45247</v>
      </c>
      <c r="E352" s="1" t="n">
        <v>46289</v>
      </c>
      <c r="F352" t="inlineStr">
        <is>
          <t>JÖNKÖPINGS LÄN</t>
        </is>
      </c>
      <c r="G352" t="inlineStr">
        <is>
          <t>VAGGERYD</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50379-2022</t>
        </is>
      </c>
      <c r="B353" t="inlineStr">
        <is>
          <t>avverkningsanmälan</t>
        </is>
      </c>
      <c r="C353" t="inlineStr">
        <is>
          <t>Föryngringsavverkning</t>
        </is>
      </c>
      <c r="D353" s="1" t="n">
        <v>44866</v>
      </c>
      <c r="E353" s="1" t="n">
        <v>46289</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12876-2024</t>
        </is>
      </c>
      <c r="B354" t="inlineStr">
        <is>
          <t>avverkningsanmälan</t>
        </is>
      </c>
      <c r="C354" t="inlineStr">
        <is>
          <t>Föryngringsavverkning</t>
        </is>
      </c>
      <c r="D354" s="1" t="n">
        <v>45385</v>
      </c>
      <c r="E354" s="1" t="n">
        <v>46289</v>
      </c>
      <c r="F354" t="inlineStr">
        <is>
          <t>JÖNKÖPINGS LÄN</t>
        </is>
      </c>
      <c r="G354" t="inlineStr">
        <is>
          <t>VAGGERYD</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53698-2022</t>
        </is>
      </c>
      <c r="B355" t="inlineStr">
        <is>
          <t>avverkningsanmälan</t>
        </is>
      </c>
      <c r="C355" t="inlineStr">
        <is>
          <t>Föryngringsavverkning</t>
        </is>
      </c>
      <c r="D355" s="1" t="n">
        <v>44880</v>
      </c>
      <c r="E355" s="1" t="n">
        <v>46289</v>
      </c>
      <c r="F355" t="inlineStr">
        <is>
          <t>JÖNKÖPINGS LÄN</t>
        </is>
      </c>
      <c r="G355" t="inlineStr">
        <is>
          <t>VAGGERYD</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40346-2023</t>
        </is>
      </c>
      <c r="B356" t="inlineStr">
        <is>
          <t>avverkningsanmälan</t>
        </is>
      </c>
      <c r="C356" t="inlineStr">
        <is>
          <t>Föryngringsavverkning</t>
        </is>
      </c>
      <c r="D356" s="1" t="n">
        <v>45169</v>
      </c>
      <c r="E356" s="1" t="n">
        <v>46289</v>
      </c>
      <c r="F356" t="inlineStr">
        <is>
          <t>JÖNKÖPINGS LÄN</t>
        </is>
      </c>
      <c r="G356" t="inlineStr">
        <is>
          <t>VAGGERYD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6925-2025</t>
        </is>
      </c>
      <c r="B357" t="inlineStr">
        <is>
          <t>avverkningsanmälan</t>
        </is>
      </c>
      <c r="C357" t="inlineStr">
        <is>
          <t>Föryngringsavverkning</t>
        </is>
      </c>
      <c r="D357" s="1" t="n">
        <v>45701</v>
      </c>
      <c r="E357" s="1" t="n">
        <v>46289</v>
      </c>
      <c r="F357" t="inlineStr">
        <is>
          <t>JÖNKÖPINGS LÄN</t>
        </is>
      </c>
      <c r="G357" t="inlineStr">
        <is>
          <t>VAGGERYD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18703-2025</t>
        </is>
      </c>
      <c r="B358" t="inlineStr">
        <is>
          <t>avverkningsanmälan</t>
        </is>
      </c>
      <c r="C358" t="inlineStr">
        <is>
          <t>Föryngringsavverkning</t>
        </is>
      </c>
      <c r="D358" s="1" t="n">
        <v>45763</v>
      </c>
      <c r="E358" s="1" t="n">
        <v>46289</v>
      </c>
      <c r="F358" t="inlineStr">
        <is>
          <t>JÖNKÖPINGS LÄN</t>
        </is>
      </c>
      <c r="G358" t="inlineStr">
        <is>
          <t>VAGGERYD</t>
        </is>
      </c>
      <c r="H358" t="inlineStr">
        <is>
          <t>Sveaskog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18706-2025</t>
        </is>
      </c>
      <c r="B359" t="inlineStr">
        <is>
          <t>avverkningsanmälan</t>
        </is>
      </c>
      <c r="C359" t="inlineStr">
        <is>
          <t>Föryngringsavverkning</t>
        </is>
      </c>
      <c r="D359" s="1" t="n">
        <v>45763</v>
      </c>
      <c r="E359" s="1" t="n">
        <v>46289</v>
      </c>
      <c r="F359" t="inlineStr">
        <is>
          <t>JÖNKÖPINGS LÄN</t>
        </is>
      </c>
      <c r="G359" t="inlineStr">
        <is>
          <t>VAGGERYD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59018-2021</t>
        </is>
      </c>
      <c r="B360" t="inlineStr">
        <is>
          <t>avverkningsanmälan</t>
        </is>
      </c>
      <c r="C360" t="inlineStr">
        <is>
          <t>Föryngringsavverkning</t>
        </is>
      </c>
      <c r="D360" s="1" t="n">
        <v>44490</v>
      </c>
      <c r="E360" s="1" t="n">
        <v>46289</v>
      </c>
      <c r="F360" t="inlineStr">
        <is>
          <t>JÖNKÖPINGS LÄN</t>
        </is>
      </c>
      <c r="G360" t="inlineStr">
        <is>
          <t>VAGGERYD</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19792-2023</t>
        </is>
      </c>
      <c r="B361" t="inlineStr">
        <is>
          <t>avverkningsanmälan</t>
        </is>
      </c>
      <c r="C361" t="inlineStr">
        <is>
          <t>Föryngringsavverkning</t>
        </is>
      </c>
      <c r="D361" s="1" t="n">
        <v>45051</v>
      </c>
      <c r="E361" s="1" t="n">
        <v>46289</v>
      </c>
      <c r="F361" t="inlineStr">
        <is>
          <t>JÖNKÖPINGS LÄN</t>
        </is>
      </c>
      <c r="G361" t="inlineStr">
        <is>
          <t>VAGGERYD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24523-2024</t>
        </is>
      </c>
      <c r="B362" t="inlineStr">
        <is>
          <t>avverkningsanmälan</t>
        </is>
      </c>
      <c r="C362" t="inlineStr">
        <is>
          <t>Föryngringsavverkning</t>
        </is>
      </c>
      <c r="D362" s="1" t="n">
        <v>45460</v>
      </c>
      <c r="E362" s="1" t="n">
        <v>46289</v>
      </c>
      <c r="F362" t="inlineStr">
        <is>
          <t>JÖNKÖPINGS LÄN</t>
        </is>
      </c>
      <c r="G362" t="inlineStr">
        <is>
          <t>VAGGERYD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16612-2025</t>
        </is>
      </c>
      <c r="B363" t="inlineStr">
        <is>
          <t>avverkningsanmälan</t>
        </is>
      </c>
      <c r="C363" t="inlineStr">
        <is>
          <t>Föryngringsavverkning</t>
        </is>
      </c>
      <c r="D363" s="1" t="n">
        <v>45753</v>
      </c>
      <c r="E363" s="1" t="n">
        <v>46289</v>
      </c>
      <c r="F363" t="inlineStr">
        <is>
          <t>JÖNKÖPINGS LÄN</t>
        </is>
      </c>
      <c r="G363" t="inlineStr">
        <is>
          <t>VAGGERYD</t>
        </is>
      </c>
      <c r="H363" t="inlineStr">
        <is>
          <t>Sveaskog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28896-2023</t>
        </is>
      </c>
      <c r="B364" t="inlineStr">
        <is>
          <t>avverkningsanmälan</t>
        </is>
      </c>
      <c r="C364" t="inlineStr">
        <is>
          <t>Avverkning för att bevara och utveckla /försöksver</t>
        </is>
      </c>
      <c r="D364" s="1" t="n">
        <v>45104</v>
      </c>
      <c r="E364" s="1" t="n">
        <v>46289</v>
      </c>
      <c r="F364" t="inlineStr">
        <is>
          <t>JÖNKÖPINGS LÄN</t>
        </is>
      </c>
      <c r="G364" t="inlineStr">
        <is>
          <t>VAGGERYD</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223-2023</t>
        </is>
      </c>
      <c r="B365" t="inlineStr">
        <is>
          <t>avverkningsanmälan</t>
        </is>
      </c>
      <c r="C365" t="inlineStr">
        <is>
          <t>Föryngringsavverkning</t>
        </is>
      </c>
      <c r="D365" s="1" t="n">
        <v>44928</v>
      </c>
      <c r="E365" s="1" t="n">
        <v>46289</v>
      </c>
      <c r="F365" t="inlineStr">
        <is>
          <t>JÖNKÖPINGS LÄN</t>
        </is>
      </c>
      <c r="G365" t="inlineStr">
        <is>
          <t>VAGGERYD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45423-2023</t>
        </is>
      </c>
      <c r="B366" t="inlineStr">
        <is>
          <t>avverkningsanmälan</t>
        </is>
      </c>
      <c r="C366" t="inlineStr">
        <is>
          <t>Föryngringsavverkning</t>
        </is>
      </c>
      <c r="D366" s="1" t="n">
        <v>45194</v>
      </c>
      <c r="E366" s="1" t="n">
        <v>46289</v>
      </c>
      <c r="F366" t="inlineStr">
        <is>
          <t>JÖNKÖPINGS LÄN</t>
        </is>
      </c>
      <c r="G366" t="inlineStr">
        <is>
          <t>VAGGERYD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22983-2025</t>
        </is>
      </c>
      <c r="B367" t="inlineStr">
        <is>
          <t>avverkningsanmälan</t>
        </is>
      </c>
      <c r="C367" t="inlineStr">
        <is>
          <t>Föryngringsavverkning</t>
        </is>
      </c>
      <c r="D367" s="1" t="n">
        <v>45790</v>
      </c>
      <c r="E367" s="1" t="n">
        <v>46289</v>
      </c>
      <c r="F367" t="inlineStr">
        <is>
          <t>JÖNKÖPINGS LÄN</t>
        </is>
      </c>
      <c r="G367" t="inlineStr">
        <is>
          <t>VAGGERYD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13107-2023</t>
        </is>
      </c>
      <c r="B368" t="inlineStr">
        <is>
          <t>avverkningsanmälan</t>
        </is>
      </c>
      <c r="C368" t="inlineStr">
        <is>
          <t>Föryngringsavverkning</t>
        </is>
      </c>
      <c r="D368" s="1" t="n">
        <v>45002</v>
      </c>
      <c r="E368" s="1" t="n">
        <v>46289</v>
      </c>
      <c r="F368" t="inlineStr">
        <is>
          <t>JÖNKÖPINGS LÄN</t>
        </is>
      </c>
      <c r="G368" t="inlineStr">
        <is>
          <t>VAGGERYD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43052-2024</t>
        </is>
      </c>
      <c r="B369" t="inlineStr">
        <is>
          <t>avverkningsanmälan</t>
        </is>
      </c>
      <c r="C369" t="inlineStr">
        <is>
          <t>Föryngringsavverkning</t>
        </is>
      </c>
      <c r="D369" s="1" t="n">
        <v>45567</v>
      </c>
      <c r="E369" s="1" t="n">
        <v>46289</v>
      </c>
      <c r="F369" t="inlineStr">
        <is>
          <t>JÖNKÖPINGS LÄN</t>
        </is>
      </c>
      <c r="G369" t="inlineStr">
        <is>
          <t>VAGGERYD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41379-2025</t>
        </is>
      </c>
      <c r="B370" t="inlineStr">
        <is>
          <t>avverkningsanmälan</t>
        </is>
      </c>
      <c r="C370" t="inlineStr">
        <is>
          <t>Föryngringsavverkning</t>
        </is>
      </c>
      <c r="D370" s="1" t="n">
        <v>45900</v>
      </c>
      <c r="E370" s="1" t="n">
        <v>46289</v>
      </c>
      <c r="F370" t="inlineStr">
        <is>
          <t>JÖNKÖPINGS LÄN</t>
        </is>
      </c>
      <c r="G370" t="inlineStr">
        <is>
          <t>VAGGERYD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17302-2022</t>
        </is>
      </c>
      <c r="B371" t="inlineStr">
        <is>
          <t>avverkningsanmälan</t>
        </is>
      </c>
      <c r="C371" t="inlineStr">
        <is>
          <t>Föryngringsavverkning</t>
        </is>
      </c>
      <c r="D371" s="1" t="n">
        <v>44678</v>
      </c>
      <c r="E371" s="1" t="n">
        <v>46289</v>
      </c>
      <c r="F371" t="inlineStr">
        <is>
          <t>JÖNKÖPINGS LÄN</t>
        </is>
      </c>
      <c r="G371" t="inlineStr">
        <is>
          <t>VAGGERYD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11588-2024</t>
        </is>
      </c>
      <c r="B372" t="inlineStr">
        <is>
          <t>avverkningsanmälan</t>
        </is>
      </c>
      <c r="C372" t="inlineStr">
        <is>
          <t>Föryngringsavverkning</t>
        </is>
      </c>
      <c r="D372" s="1" t="n">
        <v>45373</v>
      </c>
      <c r="E372" s="1" t="n">
        <v>46289</v>
      </c>
      <c r="F372" t="inlineStr">
        <is>
          <t>JÖNKÖPINGS LÄN</t>
        </is>
      </c>
      <c r="G372" t="inlineStr">
        <is>
          <t>VAGGERYD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25620-2024</t>
        </is>
      </c>
      <c r="B373" t="inlineStr">
        <is>
          <t>avverkningsanmälan</t>
        </is>
      </c>
      <c r="C373" t="inlineStr">
        <is>
          <t>Föryngringsavverkning</t>
        </is>
      </c>
      <c r="D373" s="1" t="n">
        <v>45463</v>
      </c>
      <c r="E373" s="1" t="n">
        <v>46289</v>
      </c>
      <c r="F373" t="inlineStr">
        <is>
          <t>JÖNKÖPINGS LÄN</t>
        </is>
      </c>
      <c r="G373" t="inlineStr">
        <is>
          <t>VAGGERYD</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58627-2024</t>
        </is>
      </c>
      <c r="B374" t="inlineStr">
        <is>
          <t>avverkningsanmälan</t>
        </is>
      </c>
      <c r="C374" t="inlineStr">
        <is>
          <t>Föryngringsavverkning</t>
        </is>
      </c>
      <c r="D374" s="1" t="n">
        <v>45635</v>
      </c>
      <c r="E374" s="1" t="n">
        <v>46289</v>
      </c>
      <c r="F374" t="inlineStr">
        <is>
          <t>JÖNKÖPINGS LÄN</t>
        </is>
      </c>
      <c r="G374" t="inlineStr">
        <is>
          <t>VAGGERYD</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58267-2025</t>
        </is>
      </c>
      <c r="B375" t="inlineStr">
        <is>
          <t>avverkningsanmälan</t>
        </is>
      </c>
      <c r="C375" t="inlineStr">
        <is>
          <t>Avverkning för annat ändamål</t>
        </is>
      </c>
      <c r="D375" s="1" t="n">
        <v>45985</v>
      </c>
      <c r="E375" s="1" t="n">
        <v>46289</v>
      </c>
      <c r="F375" t="inlineStr">
        <is>
          <t>JÖNKÖPINGS LÄN</t>
        </is>
      </c>
      <c r="G375" t="inlineStr">
        <is>
          <t>VAGGERYD</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15926-2025</t>
        </is>
      </c>
      <c r="B376" t="inlineStr">
        <is>
          <t>avverkningsanmälan</t>
        </is>
      </c>
      <c r="C376" t="inlineStr">
        <is>
          <t>Föryngringsavverkning</t>
        </is>
      </c>
      <c r="D376" s="1" t="n">
        <v>45749</v>
      </c>
      <c r="E376" s="1" t="n">
        <v>46289</v>
      </c>
      <c r="F376" t="inlineStr">
        <is>
          <t>JÖNKÖPINGS LÄN</t>
        </is>
      </c>
      <c r="G376" t="inlineStr">
        <is>
          <t>VAGGERYD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15943-2025</t>
        </is>
      </c>
      <c r="B377" t="inlineStr">
        <is>
          <t>avverkningsanmälan</t>
        </is>
      </c>
      <c r="C377" t="inlineStr">
        <is>
          <t>Föryngringsavverkning</t>
        </is>
      </c>
      <c r="D377" s="1" t="n">
        <v>45749</v>
      </c>
      <c r="E377" s="1" t="n">
        <v>46289</v>
      </c>
      <c r="F377" t="inlineStr">
        <is>
          <t>JÖNKÖPINGS LÄN</t>
        </is>
      </c>
      <c r="G377" t="inlineStr">
        <is>
          <t>VAGGERYD</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30915-2024</t>
        </is>
      </c>
      <c r="B378" t="inlineStr">
        <is>
          <t>avverkningsanmälan</t>
        </is>
      </c>
      <c r="C378" t="inlineStr">
        <is>
          <t>Föryngringsavverkning</t>
        </is>
      </c>
      <c r="D378" s="1" t="n">
        <v>45498</v>
      </c>
      <c r="E378" s="1" t="n">
        <v>46289</v>
      </c>
      <c r="F378" t="inlineStr">
        <is>
          <t>JÖNKÖPINGS LÄN</t>
        </is>
      </c>
      <c r="G378" t="inlineStr">
        <is>
          <t>VAGGERYD</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3113-2025</t>
        </is>
      </c>
      <c r="B379" t="inlineStr">
        <is>
          <t>avverkningsanmälan</t>
        </is>
      </c>
      <c r="C379" t="inlineStr">
        <is>
          <t>Föryngringsavverkning</t>
        </is>
      </c>
      <c r="D379" s="1" t="n">
        <v>45678</v>
      </c>
      <c r="E379" s="1" t="n">
        <v>46289</v>
      </c>
      <c r="F379" t="inlineStr">
        <is>
          <t>JÖNKÖPINGS LÄN</t>
        </is>
      </c>
      <c r="G379" t="inlineStr">
        <is>
          <t>VAGGERYD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61915-2023</t>
        </is>
      </c>
      <c r="B380" t="inlineStr">
        <is>
          <t>avverkningsanmälan</t>
        </is>
      </c>
      <c r="C380" t="inlineStr">
        <is>
          <t>Föryngringsavverkning</t>
        </is>
      </c>
      <c r="D380" s="1" t="n">
        <v>45266</v>
      </c>
      <c r="E380" s="1" t="n">
        <v>46289</v>
      </c>
      <c r="F380" t="inlineStr">
        <is>
          <t>JÖNKÖPINGS LÄN</t>
        </is>
      </c>
      <c r="G380" t="inlineStr">
        <is>
          <t>VAGGERYD</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22767-2024</t>
        </is>
      </c>
      <c r="B381" t="inlineStr">
        <is>
          <t>avverkningsanmälan</t>
        </is>
      </c>
      <c r="C381" t="inlineStr">
        <is>
          <t>Föryngringsavverkning</t>
        </is>
      </c>
      <c r="D381" s="1" t="n">
        <v>45448</v>
      </c>
      <c r="E381" s="1" t="n">
        <v>46289</v>
      </c>
      <c r="F381" t="inlineStr">
        <is>
          <t>JÖNKÖPINGS LÄN</t>
        </is>
      </c>
      <c r="G381" t="inlineStr">
        <is>
          <t>VAGGERYD</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16560-2025</t>
        </is>
      </c>
      <c r="B382" t="inlineStr">
        <is>
          <t>avverkningsanmälan</t>
        </is>
      </c>
      <c r="C382" t="inlineStr">
        <is>
          <t>Föryngringsavverkning</t>
        </is>
      </c>
      <c r="D382" s="1" t="n">
        <v>45751</v>
      </c>
      <c r="E382" s="1" t="n">
        <v>46289</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9229-2024</t>
        </is>
      </c>
      <c r="B383" t="inlineStr">
        <is>
          <t>avverkningsanmälan</t>
        </is>
      </c>
      <c r="C383" t="inlineStr">
        <is>
          <t>Föryngringsavverkning</t>
        </is>
      </c>
      <c r="D383" s="1" t="n">
        <v>45357</v>
      </c>
      <c r="E383" s="1" t="n">
        <v>46289</v>
      </c>
      <c r="F383" t="inlineStr">
        <is>
          <t>JÖNKÖPINGS LÄN</t>
        </is>
      </c>
      <c r="G383" t="inlineStr">
        <is>
          <t>VAGGERYD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58612-2024</t>
        </is>
      </c>
      <c r="B384" t="inlineStr">
        <is>
          <t>avverkningsanmälan</t>
        </is>
      </c>
      <c r="C384" t="inlineStr">
        <is>
          <t>Föryngringsavverkning</t>
        </is>
      </c>
      <c r="D384" s="1" t="n">
        <v>45635</v>
      </c>
      <c r="E384" s="1" t="n">
        <v>46289</v>
      </c>
      <c r="F384" t="inlineStr">
        <is>
          <t>JÖNKÖPINGS LÄN</t>
        </is>
      </c>
      <c r="G384" t="inlineStr">
        <is>
          <t>VAGGERYD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11035-2024</t>
        </is>
      </c>
      <c r="B385" t="inlineStr">
        <is>
          <t>avverkningsanmälan</t>
        </is>
      </c>
      <c r="C385" t="inlineStr">
        <is>
          <t>Föryngringsavverkning</t>
        </is>
      </c>
      <c r="D385" s="1" t="n">
        <v>45370</v>
      </c>
      <c r="E385" s="1" t="n">
        <v>46289</v>
      </c>
      <c r="F385" t="inlineStr">
        <is>
          <t>JÖNKÖPINGS LÄN</t>
        </is>
      </c>
      <c r="G385" t="inlineStr">
        <is>
          <t>VAGGERYD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40691-2023</t>
        </is>
      </c>
      <c r="B386" t="inlineStr">
        <is>
          <t>avverkningsanmälan</t>
        </is>
      </c>
      <c r="C386" t="inlineStr">
        <is>
          <t>Föryngringsavverkning</t>
        </is>
      </c>
      <c r="D386" s="1" t="n">
        <v>45169</v>
      </c>
      <c r="E386" s="1" t="n">
        <v>46289</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1938-2025</t>
        </is>
      </c>
      <c r="B387" t="inlineStr">
        <is>
          <t>avverkningsanmälan</t>
        </is>
      </c>
      <c r="C387" t="inlineStr">
        <is>
          <t>Föryngringsavverkning</t>
        </is>
      </c>
      <c r="D387" s="1" t="n">
        <v>45671</v>
      </c>
      <c r="E387" s="1" t="n">
        <v>46289</v>
      </c>
      <c r="F387" t="inlineStr">
        <is>
          <t>JÖNKÖPINGS LÄN</t>
        </is>
      </c>
      <c r="G387" t="inlineStr">
        <is>
          <t>VAGGERYD</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18764-2025</t>
        </is>
      </c>
      <c r="B388" t="inlineStr">
        <is>
          <t>avverkningsanmälan</t>
        </is>
      </c>
      <c r="C388" t="inlineStr">
        <is>
          <t>Föryngringsavverkning</t>
        </is>
      </c>
      <c r="D388" s="1" t="n">
        <v>45764</v>
      </c>
      <c r="E388" s="1" t="n">
        <v>46289</v>
      </c>
      <c r="F388" t="inlineStr">
        <is>
          <t>JÖNKÖPINGS LÄN</t>
        </is>
      </c>
      <c r="G388" t="inlineStr">
        <is>
          <t>VAGGERYD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15940-2025</t>
        </is>
      </c>
      <c r="B389" t="inlineStr">
        <is>
          <t>avverkningsanmälan</t>
        </is>
      </c>
      <c r="C389" t="inlineStr">
        <is>
          <t>Föryngringsavverkning</t>
        </is>
      </c>
      <c r="D389" s="1" t="n">
        <v>45749</v>
      </c>
      <c r="E389" s="1" t="n">
        <v>46289</v>
      </c>
      <c r="F389" t="inlineStr">
        <is>
          <t>JÖNKÖPINGS LÄN</t>
        </is>
      </c>
      <c r="G389" t="inlineStr">
        <is>
          <t>VAGGERYD</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15423-2024</t>
        </is>
      </c>
      <c r="B390" t="inlineStr">
        <is>
          <t>avverkningsanmälan</t>
        </is>
      </c>
      <c r="C390" t="inlineStr">
        <is>
          <t>Föryngringsavverkning</t>
        </is>
      </c>
      <c r="D390" s="1" t="n">
        <v>45401</v>
      </c>
      <c r="E390" s="1" t="n">
        <v>46289</v>
      </c>
      <c r="F390" t="inlineStr">
        <is>
          <t>JÖNKÖPINGS LÄN</t>
        </is>
      </c>
      <c r="G390" t="inlineStr">
        <is>
          <t>VAGGERYD</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35051-2025</t>
        </is>
      </c>
      <c r="B391" t="inlineStr">
        <is>
          <t>avverkningsanmälan</t>
        </is>
      </c>
      <c r="C391" t="inlineStr">
        <is>
          <t>Föryngringsavverkning</t>
        </is>
      </c>
      <c r="D391" s="1" t="n">
        <v>45852</v>
      </c>
      <c r="E391" s="1" t="n">
        <v>46289</v>
      </c>
      <c r="F391" t="inlineStr">
        <is>
          <t>JÖNKÖPINGS LÄN</t>
        </is>
      </c>
      <c r="G391" t="inlineStr">
        <is>
          <t>VAGGERYD</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14399-2023</t>
        </is>
      </c>
      <c r="B392" t="inlineStr">
        <is>
          <t>avverkningsanmälan</t>
        </is>
      </c>
      <c r="C392" t="inlineStr">
        <is>
          <t>Föryngringsavverkning</t>
        </is>
      </c>
      <c r="D392" s="1" t="n">
        <v>45012</v>
      </c>
      <c r="E392" s="1" t="n">
        <v>46289</v>
      </c>
      <c r="F392" t="inlineStr">
        <is>
          <t>JÖNKÖPINGS LÄN</t>
        </is>
      </c>
      <c r="G392" t="inlineStr">
        <is>
          <t>VAGGERYD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22826-2026</t>
        </is>
      </c>
      <c r="B393" t="inlineStr">
        <is>
          <t>avverkningsanmälan</t>
        </is>
      </c>
      <c r="C393" t="inlineStr">
        <is>
          <t>Föryngringsavverkning</t>
        </is>
      </c>
      <c r="D393" s="1" t="n">
        <v>46160</v>
      </c>
      <c r="E393" s="1" t="n">
        <v>46289</v>
      </c>
      <c r="F393" t="inlineStr">
        <is>
          <t>JÖNKÖPINGS LÄN</t>
        </is>
      </c>
      <c r="G393" t="inlineStr">
        <is>
          <t>VAGGERYD</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22833-2026</t>
        </is>
      </c>
      <c r="B394" t="inlineStr">
        <is>
          <t>avverkningsanmälan</t>
        </is>
      </c>
      <c r="C394" t="inlineStr">
        <is>
          <t>Föryngringsavverkning</t>
        </is>
      </c>
      <c r="D394" s="1" t="n">
        <v>46160</v>
      </c>
      <c r="E394" s="1" t="n">
        <v>46289</v>
      </c>
      <c r="F394" t="inlineStr">
        <is>
          <t>JÖNKÖPINGS LÄN</t>
        </is>
      </c>
      <c r="G394" t="inlineStr">
        <is>
          <t>VAGGERYD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22898-2026</t>
        </is>
      </c>
      <c r="B395" t="inlineStr">
        <is>
          <t>avverkningsanmälan</t>
        </is>
      </c>
      <c r="C395" t="inlineStr">
        <is>
          <t>Föryngringsavverkning</t>
        </is>
      </c>
      <c r="D395" s="1" t="n">
        <v>46160</v>
      </c>
      <c r="E395" s="1" t="n">
        <v>46289</v>
      </c>
      <c r="F395" t="inlineStr">
        <is>
          <t>JÖNKÖPINGS LÄN</t>
        </is>
      </c>
      <c r="G395" t="inlineStr">
        <is>
          <t>VAGGERYD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31349-2025</t>
        </is>
      </c>
      <c r="B396" t="inlineStr">
        <is>
          <t>avverkningsanmälan</t>
        </is>
      </c>
      <c r="C396" t="inlineStr">
        <is>
          <t>Föryngringsavverkning</t>
        </is>
      </c>
      <c r="D396" s="1" t="n">
        <v>45832</v>
      </c>
      <c r="E396" s="1" t="n">
        <v>46289</v>
      </c>
      <c r="F396" t="inlineStr">
        <is>
          <t>JÖNKÖPINGS LÄN</t>
        </is>
      </c>
      <c r="G396" t="inlineStr">
        <is>
          <t>VAGGERYD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27470-2026</t>
        </is>
      </c>
      <c r="B397" t="inlineStr">
        <is>
          <t>avverkningsanmälan</t>
        </is>
      </c>
      <c r="C397" t="inlineStr">
        <is>
          <t>Föryngringsavverkning</t>
        </is>
      </c>
      <c r="D397" s="1" t="n">
        <v>46189</v>
      </c>
      <c r="E397" s="1" t="n">
        <v>46289</v>
      </c>
      <c r="F397" t="inlineStr">
        <is>
          <t>JÖNKÖPINGS LÄN</t>
        </is>
      </c>
      <c r="G397" t="inlineStr">
        <is>
          <t>VAGGERYD</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27471-2026</t>
        </is>
      </c>
      <c r="B398" t="inlineStr">
        <is>
          <t>avverkningsanmälan</t>
        </is>
      </c>
      <c r="C398" t="inlineStr">
        <is>
          <t>Föryngringsavverkning</t>
        </is>
      </c>
      <c r="D398" s="1" t="n">
        <v>46189</v>
      </c>
      <c r="E398" s="1" t="n">
        <v>46289</v>
      </c>
      <c r="F398" t="inlineStr">
        <is>
          <t>JÖNKÖPINGS LÄN</t>
        </is>
      </c>
      <c r="G398" t="inlineStr">
        <is>
          <t>VAGGERYD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29308-2026</t>
        </is>
      </c>
      <c r="B399" t="inlineStr">
        <is>
          <t>avverkningsanmälan</t>
        </is>
      </c>
      <c r="C399" t="inlineStr">
        <is>
          <t>Föryngringsavverkning</t>
        </is>
      </c>
      <c r="D399" s="1" t="n">
        <v>46202</v>
      </c>
      <c r="E399" s="1" t="n">
        <v>46289</v>
      </c>
      <c r="F399" t="inlineStr">
        <is>
          <t>JÖNKÖPINGS LÄN</t>
        </is>
      </c>
      <c r="G399" t="inlineStr">
        <is>
          <t>VAGGERYD</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73527-2021</t>
        </is>
      </c>
      <c r="B400" t="inlineStr">
        <is>
          <t>avverkningsanmälan</t>
        </is>
      </c>
      <c r="C400" t="inlineStr">
        <is>
          <t>Avverkning för annat ändamål</t>
        </is>
      </c>
      <c r="D400" s="1" t="n">
        <v>44550</v>
      </c>
      <c r="E400" s="1" t="n">
        <v>46289</v>
      </c>
      <c r="F400" t="inlineStr">
        <is>
          <t>JÖNKÖPINGS LÄN</t>
        </is>
      </c>
      <c r="G400" t="inlineStr">
        <is>
          <t>VAGGERYD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30606-2026</t>
        </is>
      </c>
      <c r="B401" t="inlineStr">
        <is>
          <t>avverkningsanmälan</t>
        </is>
      </c>
      <c r="C401" t="inlineStr">
        <is>
          <t>Föryngringsavverkning</t>
        </is>
      </c>
      <c r="D401" s="1" t="n">
        <v>46210</v>
      </c>
      <c r="E401" s="1" t="n">
        <v>46289</v>
      </c>
      <c r="F401" t="inlineStr">
        <is>
          <t>JÖNKÖPINGS LÄN</t>
        </is>
      </c>
      <c r="G401" t="inlineStr">
        <is>
          <t>VAGGERYD</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34660-2026</t>
        </is>
      </c>
      <c r="B402" t="inlineStr">
        <is>
          <t>avverkningsanmälan</t>
        </is>
      </c>
      <c r="C402" t="inlineStr">
        <is>
          <t>Föryngringsavverkning</t>
        </is>
      </c>
      <c r="D402" s="1" t="n">
        <v>46257</v>
      </c>
      <c r="E402" s="1" t="n">
        <v>46289</v>
      </c>
      <c r="F402" t="inlineStr">
        <is>
          <t>JÖNKÖPINGS LÄN</t>
        </is>
      </c>
      <c r="G402" t="inlineStr">
        <is>
          <t>VAGGERYD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30833-2026</t>
        </is>
      </c>
      <c r="B403" t="inlineStr">
        <is>
          <t>avverkningsanmälan</t>
        </is>
      </c>
      <c r="C403" t="inlineStr">
        <is>
          <t>Föryngringsavverkning</t>
        </is>
      </c>
      <c r="D403" s="1" t="n">
        <v>46212</v>
      </c>
      <c r="E403" s="1" t="n">
        <v>46289</v>
      </c>
      <c r="F403" t="inlineStr">
        <is>
          <t>JÖNKÖPINGS LÄN</t>
        </is>
      </c>
      <c r="G403" t="inlineStr">
        <is>
          <t>VAGGERYD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37678-2026</t>
        </is>
      </c>
      <c r="B404" t="inlineStr">
        <is>
          <t>avverkningsanmälan</t>
        </is>
      </c>
      <c r="C404" t="inlineStr">
        <is>
          <t>Föryngringsavverkning</t>
        </is>
      </c>
      <c r="D404" s="1" t="n">
        <v>46278</v>
      </c>
      <c r="E404" s="1" t="n">
        <v>46289</v>
      </c>
      <c r="F404" t="inlineStr">
        <is>
          <t>JÖNKÖPINGS LÄN</t>
        </is>
      </c>
      <c r="G404" t="inlineStr">
        <is>
          <t>VAGGERYD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38490-2026</t>
        </is>
      </c>
      <c r="B405" t="inlineStr">
        <is>
          <t>avverkningsanmälan</t>
        </is>
      </c>
      <c r="C405" t="inlineStr">
        <is>
          <t>Föryngringsavverkning</t>
        </is>
      </c>
      <c r="D405" s="1" t="n">
        <v>46282</v>
      </c>
      <c r="E405" s="1" t="n">
        <v>46289</v>
      </c>
      <c r="F405" t="inlineStr">
        <is>
          <t>JÖNKÖPINGS LÄN</t>
        </is>
      </c>
      <c r="G405" t="inlineStr">
        <is>
          <t>VAGGERYD</t>
        </is>
      </c>
      <c r="I405" t="n">
        <v>7.4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46289</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46289</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46289</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46289</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46289</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46289</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46289</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46289</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46289</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46289</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46289</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46289</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46289</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46289</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46289</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46289</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46289</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46289</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46289</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46289</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46289</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46289</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46289</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46289</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46289</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46289</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46289</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46289</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46289</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46289</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2026-09-24T01:52:58Z</dcterms:created>
  <dcterms:modified xmlns:dcterms="http://purl.org/dc/terms/" xmlns:xsi="http://www.w3.org/2001/XMLSchema-instance" xsi:type="dcterms:W3CDTF">2026-09-24T01:52:59Z</dcterms:modified>
</cp:coreProperties>
</file>