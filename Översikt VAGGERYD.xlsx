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46233</v>
      </c>
      <c r="F2" t="inlineStr">
        <is>
          <t>JÖNKÖPINGS LÄN</t>
        </is>
      </c>
      <c r="G2" t="inlineStr">
        <is>
          <t>VAGGERYD</t>
        </is>
      </c>
      <c r="I2" t="n">
        <v>1.6</v>
      </c>
      <c r="J2" t="n">
        <v>59</v>
      </c>
      <c r="K2" t="n">
        <v>0</v>
      </c>
      <c r="L2" t="n">
        <v>24</v>
      </c>
      <c r="M2" t="n">
        <v>7</v>
      </c>
      <c r="N2" t="n">
        <v>3</v>
      </c>
      <c r="O2" t="n">
        <v>0</v>
      </c>
      <c r="P2" t="n">
        <v>0</v>
      </c>
      <c r="Q2" t="n">
        <v>34</v>
      </c>
      <c r="R2" t="n">
        <v>10</v>
      </c>
      <c r="S2" t="n">
        <v>60</v>
      </c>
      <c r="T2" t="n">
        <v>76</v>
      </c>
      <c r="U2" t="n">
        <v>2</v>
      </c>
      <c r="V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46233</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7</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46233</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46233</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960-2022</t>
        </is>
      </c>
      <c r="B6" t="inlineStr">
        <is>
          <t>samrådsanmälan</t>
        </is>
      </c>
      <c r="C6" t="inlineStr">
        <is>
          <t>Askåterföring</t>
        </is>
      </c>
      <c r="D6" s="1" t="n">
        <v>44607</v>
      </c>
      <c r="E6" s="1" t="n">
        <v>46233</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t="n">
        <v>3</v>
      </c>
      <c r="V6" s="2" t="inlineStr">
        <is>
          <t>Skrovlig taggsvamp
Dropptaggsvamp
Motaggsvamp
Tallriska
Tjäder
Sävsparv</t>
        </is>
      </c>
      <c r="W6">
        <f>HYPERLINK("https://klasma.github.io/Logging_0665/artfynd/S 960-2022 artfynd.xlsx", "S 960-2022")</f>
        <v/>
      </c>
      <c r="X6">
        <f>HYPERLINK("https://klasma.github.io/Logging_0665/kartor/S 960-2022 karta.png", "S 960-2022")</f>
        <v/>
      </c>
      <c r="Y6">
        <f>HYPERLINK("https://klasma.github.io/Logging_0665/kartor_geotiff/S 960-2022 georefererad karta.tif", "S 960-2022")</f>
        <v/>
      </c>
      <c r="AA6">
        <f>HYPERLINK("https://klasma.github.io/Logging_0665/klagomål/S 960-2022 FSC-klagomål.docx", "S 960-2022")</f>
        <v/>
      </c>
      <c r="AB6">
        <f>HYPERLINK("https://klasma.github.io/Logging_0665/klagomålsmail/S 960-2022 FSC-klagomål mail.docx", "S 960-2022")</f>
        <v/>
      </c>
      <c r="AC6">
        <f>HYPERLINK("https://klasma.github.io/Logging_0665/tillsyn/S 960-2022 tillsynsbegäran.docx", "S 960-2022")</f>
        <v/>
      </c>
      <c r="AD6">
        <f>HYPERLINK("https://klasma.github.io/Logging_0665/tillsynsmail/S 960-2022 tillsynsbegäran mail.docx", "S 960-2022")</f>
        <v/>
      </c>
      <c r="AE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46233</v>
      </c>
      <c r="F7" t="inlineStr">
        <is>
          <t>JÖNKÖPINGS LÄN</t>
        </is>
      </c>
      <c r="G7" t="inlineStr">
        <is>
          <t>VAGGERYD</t>
        </is>
      </c>
      <c r="I7" t="n">
        <v>40.6</v>
      </c>
      <c r="J7" t="n">
        <v>1</v>
      </c>
      <c r="K7" t="n">
        <v>3</v>
      </c>
      <c r="L7" t="n">
        <v>3</v>
      </c>
      <c r="M7" t="n">
        <v>0</v>
      </c>
      <c r="N7" t="n">
        <v>0</v>
      </c>
      <c r="O7" t="n">
        <v>0</v>
      </c>
      <c r="P7" t="n">
        <v>0</v>
      </c>
      <c r="Q7" t="n">
        <v>3</v>
      </c>
      <c r="R7" t="n">
        <v>0</v>
      </c>
      <c r="S7" t="n">
        <v>6</v>
      </c>
      <c r="T7" t="n">
        <v>7</v>
      </c>
      <c r="U7" t="n">
        <v>0</v>
      </c>
      <c r="V7" s="2" t="inlineStr">
        <is>
          <t>Dunmossa
Gullpudra
Kattfotslav
Korallrot
Källpraktmossa
Rödgul trumpetsvamp</t>
        </is>
      </c>
      <c r="W7">
        <f>HYPERLINK("https://klasma.github.io/Logging_0665/artfynd/S 1318-2024 artfynd.xlsx", "S 1318-2024")</f>
        <v/>
      </c>
      <c r="X7">
        <f>HYPERLINK("https://klasma.github.io/Logging_0665/kartor/S 1318-2024 karta.png", "S 1318-2024")</f>
        <v/>
      </c>
      <c r="Y7">
        <f>HYPERLINK("https://klasma.github.io/Logging_0665/kartor_geotiff/S 1318-2024 georefererad karta.tif", "S 1318-2024")</f>
        <v/>
      </c>
      <c r="AA7">
        <f>HYPERLINK("https://klasma.github.io/Logging_0665/klagomål/S 1318-2024 FSC-klagomål.docx", "S 1318-2024")</f>
        <v/>
      </c>
      <c r="AB7">
        <f>HYPERLINK("https://klasma.github.io/Logging_0665/klagomålsmail/S 1318-2024 FSC-klagomål mail.docx", "S 1318-2024")</f>
        <v/>
      </c>
      <c r="AC7">
        <f>HYPERLINK("https://klasma.github.io/Logging_0665/tillsyn/S 1318-2024 tillsynsbegäran.docx", "S 1318-2024")</f>
        <v/>
      </c>
      <c r="AD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46233</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t="n">
        <v>2</v>
      </c>
      <c r="V8" s="2" t="inlineStr">
        <is>
          <t>Skrovlig taggsvamp
Dropptaggsvamp
Motaggsvamp
Tallriska
Tjäder
Sävsparv</t>
        </is>
      </c>
      <c r="W8">
        <f>HYPERLINK("https://klasma.github.io/Logging_0665/artfynd/S 270-2023 artfynd.xlsx", "S 270-2023")</f>
        <v/>
      </c>
      <c r="X8">
        <f>HYPERLINK("https://klasma.github.io/Logging_0665/kartor/S 270-2023 karta.png", "S 270-2023")</f>
        <v/>
      </c>
      <c r="Y8">
        <f>HYPERLINK("https://klasma.github.io/Logging_0665/kartor_geotiff/S 270-2023 georefererad karta.tif", "S 270-2023")</f>
        <v/>
      </c>
      <c r="AA8">
        <f>HYPERLINK("https://klasma.github.io/Logging_0665/klagomål/S 270-2023 FSC-klagomål.docx", "S 270-2023")</f>
        <v/>
      </c>
      <c r="AB8">
        <f>HYPERLINK("https://klasma.github.io/Logging_0665/klagomålsmail/S 270-2023 FSC-klagomål mail.docx", "S 270-2023")</f>
        <v/>
      </c>
      <c r="AC8">
        <f>HYPERLINK("https://klasma.github.io/Logging_0665/tillsyn/S 270-2023 tillsynsbegäran.docx", "S 270-2023")</f>
        <v/>
      </c>
      <c r="AD8">
        <f>HYPERLINK("https://klasma.github.io/Logging_0665/tillsynsmail/S 270-2023 tillsynsbegäran mail.docx", "S 270-2023")</f>
        <v/>
      </c>
      <c r="AE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46233</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46233</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46233</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46233</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46233</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46233</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6937-2024</t>
        </is>
      </c>
      <c r="B15" t="inlineStr">
        <is>
          <t>avverkningsanmälan</t>
        </is>
      </c>
      <c r="C15" t="inlineStr">
        <is>
          <t>Föryngringsavverkning</t>
        </is>
      </c>
      <c r="D15" s="1" t="n">
        <v>45343</v>
      </c>
      <c r="E15" s="1" t="n">
        <v>46233</v>
      </c>
      <c r="F15" t="inlineStr">
        <is>
          <t>JÖNKÖPINGS LÄN</t>
        </is>
      </c>
      <c r="G15" t="inlineStr">
        <is>
          <t>VAGGERYD</t>
        </is>
      </c>
      <c r="I15" t="n">
        <v>1.9</v>
      </c>
      <c r="J15" t="n">
        <v>2</v>
      </c>
      <c r="K15" t="n">
        <v>0</v>
      </c>
      <c r="L15" t="n">
        <v>0</v>
      </c>
      <c r="M15" t="n">
        <v>0</v>
      </c>
      <c r="N15" t="n">
        <v>0</v>
      </c>
      <c r="O15" t="n">
        <v>0</v>
      </c>
      <c r="P15" t="n">
        <v>0</v>
      </c>
      <c r="Q15" t="n">
        <v>0</v>
      </c>
      <c r="R15" t="n">
        <v>0</v>
      </c>
      <c r="S15" t="n">
        <v>2</v>
      </c>
      <c r="T15" t="n">
        <v>2</v>
      </c>
      <c r="U15" t="n">
        <v>0</v>
      </c>
      <c r="V15" s="2" t="inlineStr">
        <is>
          <t>Större vattensalamander
Mindre vattensalamander</t>
        </is>
      </c>
      <c r="W15">
        <f>HYPERLINK("https://klasma.github.io/Logging_0665/artfynd/A 6937-2024 artfynd.xlsx", "A 6937-2024")</f>
        <v/>
      </c>
      <c r="X15">
        <f>HYPERLINK("https://klasma.github.io/Logging_0665/kartor/A 6937-2024 karta.png", "A 6937-2024")</f>
        <v/>
      </c>
      <c r="Y15">
        <f>HYPERLINK("https://klasma.github.io/Logging_0665/kartor_geotiff/A 6937-2024 georefererad karta.tif", "A 6937-2024")</f>
        <v/>
      </c>
      <c r="AA15">
        <f>HYPERLINK("https://klasma.github.io/Logging_0665/klagomål/A 6937-2024 FSC-klagomål.docx", "A 6937-2024")</f>
        <v/>
      </c>
      <c r="AB15">
        <f>HYPERLINK("https://klasma.github.io/Logging_0665/klagomålsmail/A 6937-2024 FSC-klagomål mail.docx", "A 6937-2024")</f>
        <v/>
      </c>
      <c r="AC15">
        <f>HYPERLINK("https://klasma.github.io/Logging_0665/tillsyn/A 6937-2024 tillsynsbegäran.docx", "A 6937-2024")</f>
        <v/>
      </c>
      <c r="AD15">
        <f>HYPERLINK("https://klasma.github.io/Logging_0665/tillsynsmail/A 6937-2024 tillsynsbegäran mail.docx", "A 6937-2024")</f>
        <v/>
      </c>
    </row>
    <row r="16" ht="15" customHeight="1">
      <c r="A16" t="inlineStr">
        <is>
          <t>A 4015-2023</t>
        </is>
      </c>
      <c r="B16" t="inlineStr">
        <is>
          <t>avverkningsanmälan</t>
        </is>
      </c>
      <c r="C16" t="inlineStr">
        <is>
          <t>Avverkning för att bevara och utveckla /försöksver</t>
        </is>
      </c>
      <c r="D16" s="1" t="n">
        <v>44952</v>
      </c>
      <c r="E16" s="1" t="n">
        <v>46233</v>
      </c>
      <c r="F16" t="inlineStr">
        <is>
          <t>JÖNKÖPINGS LÄN</t>
        </is>
      </c>
      <c r="G16" t="inlineStr">
        <is>
          <t>VAGGERYD</t>
        </is>
      </c>
      <c r="I16" t="n">
        <v>6</v>
      </c>
      <c r="J16" t="n">
        <v>2</v>
      </c>
      <c r="K16" t="n">
        <v>2</v>
      </c>
      <c r="L16" t="n">
        <v>0</v>
      </c>
      <c r="M16" t="n">
        <v>0</v>
      </c>
      <c r="N16" t="n">
        <v>0</v>
      </c>
      <c r="O16" t="n">
        <v>0</v>
      </c>
      <c r="P16" t="n">
        <v>0</v>
      </c>
      <c r="Q16" t="n">
        <v>0</v>
      </c>
      <c r="R16" t="n">
        <v>0</v>
      </c>
      <c r="S16" t="n">
        <v>2</v>
      </c>
      <c r="T16" t="n">
        <v>2</v>
      </c>
      <c r="U16" t="n">
        <v>2</v>
      </c>
      <c r="V16" s="2" t="inlineStr">
        <is>
          <t>Korallrot
Spindelblomster</t>
        </is>
      </c>
      <c r="W16">
        <f>HYPERLINK("https://klasma.github.io/Logging_0665/artfynd/A 4015-2023 artfynd.xlsx", "A 4015-2023")</f>
        <v/>
      </c>
      <c r="X16">
        <f>HYPERLINK("https://klasma.github.io/Logging_0665/kartor/A 4015-2023 karta.png", "A 4015-2023")</f>
        <v/>
      </c>
      <c r="Y16">
        <f>HYPERLINK("https://klasma.github.io/Logging_0665/kartor_geotiff/A 4015-2023 georefererad karta.tif", "A 4015-2023")</f>
        <v/>
      </c>
      <c r="AA16">
        <f>HYPERLINK("https://klasma.github.io/Logging_0665/klagomål/A 4015-2023 FSC-klagomål.docx", "A 4015-2023")</f>
        <v/>
      </c>
      <c r="AB16">
        <f>HYPERLINK("https://klasma.github.io/Logging_0665/klagomålsmail/A 4015-2023 FSC-klagomål mail.docx", "A 4015-2023")</f>
        <v/>
      </c>
      <c r="AC16">
        <f>HYPERLINK("https://klasma.github.io/Logging_0665/tillsyn/A 4015-2023 tillsynsbegäran.docx", "A 4015-2023")</f>
        <v/>
      </c>
      <c r="AD16">
        <f>HYPERLINK("https://klasma.github.io/Logging_0665/tillsynsmail/A 4015-2023 tillsynsbegäran mail.docx", "A 4015-2023")</f>
        <v/>
      </c>
    </row>
    <row r="17" ht="15" customHeight="1">
      <c r="A17" t="inlineStr">
        <is>
          <t>A 8286-2026</t>
        </is>
      </c>
      <c r="B17" t="inlineStr">
        <is>
          <t>avverkningsanmälan</t>
        </is>
      </c>
      <c r="C17" t="inlineStr">
        <is>
          <t>Föryngringsavverkning</t>
        </is>
      </c>
      <c r="D17" s="1" t="n">
        <v>46063</v>
      </c>
      <c r="E17" s="1" t="n">
        <v>46233</v>
      </c>
      <c r="F17" t="inlineStr">
        <is>
          <t>JÖNKÖPINGS LÄN</t>
        </is>
      </c>
      <c r="G17" t="inlineStr">
        <is>
          <t>VAGGERYD</t>
        </is>
      </c>
      <c r="H17" t="inlineStr">
        <is>
          <t>Övriga Aktiebolag</t>
        </is>
      </c>
      <c r="I17" t="n">
        <v>8.699999999999999</v>
      </c>
      <c r="J17" t="n">
        <v>1</v>
      </c>
      <c r="K17" t="n">
        <v>0</v>
      </c>
      <c r="L17" t="n">
        <v>1</v>
      </c>
      <c r="M17" t="n">
        <v>1</v>
      </c>
      <c r="N17" t="n">
        <v>0</v>
      </c>
      <c r="O17" t="n">
        <v>0</v>
      </c>
      <c r="P17" t="n">
        <v>0</v>
      </c>
      <c r="Q17" t="n">
        <v>2</v>
      </c>
      <c r="R17" t="n">
        <v>1</v>
      </c>
      <c r="S17" t="n">
        <v>2</v>
      </c>
      <c r="T17" t="n">
        <v>2</v>
      </c>
      <c r="U17" t="n">
        <v>0</v>
      </c>
      <c r="V17" s="2" t="inlineStr">
        <is>
          <t>Backsippa
Backstarr</t>
        </is>
      </c>
      <c r="W17">
        <f>HYPERLINK("https://klasma.github.io/Logging_0665/artfynd/A 8286-2026 artfynd.xlsx", "A 8286-2026")</f>
        <v/>
      </c>
      <c r="X17">
        <f>HYPERLINK("https://klasma.github.io/Logging_0665/kartor/A 8286-2026 karta.png", "A 8286-2026")</f>
        <v/>
      </c>
      <c r="Y17">
        <f>HYPERLINK("https://klasma.github.io/Logging_0665/kartor_geotiff/A 8286-2026 georefererad karta.tif", "A 8286-2026")</f>
        <v/>
      </c>
      <c r="AA17">
        <f>HYPERLINK("https://klasma.github.io/Logging_0665/klagomål/A 8286-2026 FSC-klagomål.docx", "A 8286-2026")</f>
        <v/>
      </c>
      <c r="AB17">
        <f>HYPERLINK("https://klasma.github.io/Logging_0665/klagomålsmail/A 8286-2026 FSC-klagomål mail.docx", "A 8286-2026")</f>
        <v/>
      </c>
      <c r="AC17">
        <f>HYPERLINK("https://klasma.github.io/Logging_0665/tillsyn/A 8286-2026 tillsynsbegäran.docx", "A 8286-2026")</f>
        <v/>
      </c>
      <c r="AD17">
        <f>HYPERLINK("https://klasma.github.io/Logging_0665/tillsynsmail/A 8286-2026 tillsynsbegäran mail.docx", "A 8286-2026")</f>
        <v/>
      </c>
    </row>
    <row r="18" ht="15" customHeight="1">
      <c r="A18" t="inlineStr">
        <is>
          <t>A 14416-2023</t>
        </is>
      </c>
      <c r="B18" t="inlineStr">
        <is>
          <t>avverkningsanmälan</t>
        </is>
      </c>
      <c r="C18" t="inlineStr">
        <is>
          <t>Föryngringsavverkning</t>
        </is>
      </c>
      <c r="D18" s="1" t="n">
        <v>45012</v>
      </c>
      <c r="E18" s="1" t="n">
        <v>46233</v>
      </c>
      <c r="F18" t="inlineStr">
        <is>
          <t>JÖNKÖPINGS LÄN</t>
        </is>
      </c>
      <c r="G18" t="inlineStr">
        <is>
          <t>VAGGERYD</t>
        </is>
      </c>
      <c r="I18" t="n">
        <v>11.7</v>
      </c>
      <c r="J18" t="n">
        <v>1</v>
      </c>
      <c r="K18" t="n">
        <v>1</v>
      </c>
      <c r="L18" t="n">
        <v>0</v>
      </c>
      <c r="M18" t="n">
        <v>0</v>
      </c>
      <c r="N18" t="n">
        <v>0</v>
      </c>
      <c r="O18" t="n">
        <v>0</v>
      </c>
      <c r="P18" t="n">
        <v>0</v>
      </c>
      <c r="Q18" t="n">
        <v>0</v>
      </c>
      <c r="R18" t="n">
        <v>0</v>
      </c>
      <c r="S18" t="n">
        <v>2</v>
      </c>
      <c r="T18" t="n">
        <v>2</v>
      </c>
      <c r="U18" t="n">
        <v>0</v>
      </c>
      <c r="V18" s="2" t="inlineStr">
        <is>
          <t>Västlig hakmossa
Blåsippa</t>
        </is>
      </c>
      <c r="W18">
        <f>HYPERLINK("https://klasma.github.io/Logging_0665/artfynd/A 14416-2023 artfynd.xlsx", "A 14416-2023")</f>
        <v/>
      </c>
      <c r="X18">
        <f>HYPERLINK("https://klasma.github.io/Logging_0665/kartor/A 14416-2023 karta.png", "A 14416-2023")</f>
        <v/>
      </c>
      <c r="Y18">
        <f>HYPERLINK("https://klasma.github.io/Logging_0665/kartor_geotiff/A 14416-2023 georefererad karta.tif", "A 14416-2023")</f>
        <v/>
      </c>
      <c r="AA18">
        <f>HYPERLINK("https://klasma.github.io/Logging_0665/klagomål/A 14416-2023 FSC-klagomål.docx", "A 14416-2023")</f>
        <v/>
      </c>
      <c r="AB18">
        <f>HYPERLINK("https://klasma.github.io/Logging_0665/klagomålsmail/A 14416-2023 FSC-klagomål mail.docx", "A 14416-2023")</f>
        <v/>
      </c>
      <c r="AC18">
        <f>HYPERLINK("https://klasma.github.io/Logging_0665/tillsyn/A 14416-2023 tillsynsbegäran.docx", "A 14416-2023")</f>
        <v/>
      </c>
      <c r="AD18">
        <f>HYPERLINK("https://klasma.github.io/Logging_0665/tillsynsmail/A 14416-2023 tillsynsbegäran mail.docx", "A 14416-2023")</f>
        <v/>
      </c>
    </row>
    <row r="19" ht="15" customHeight="1">
      <c r="A19" t="inlineStr">
        <is>
          <t>A 58951-2025</t>
        </is>
      </c>
      <c r="B19" t="inlineStr">
        <is>
          <t>avverkningsanmälan</t>
        </is>
      </c>
      <c r="C19" t="inlineStr">
        <is>
          <t>Föryngringsavverkning</t>
        </is>
      </c>
      <c r="D19" s="1" t="n">
        <v>45987</v>
      </c>
      <c r="E19" s="1" t="n">
        <v>46233</v>
      </c>
      <c r="F19" t="inlineStr">
        <is>
          <t>JÖNKÖPINGS LÄN</t>
        </is>
      </c>
      <c r="G19" t="inlineStr">
        <is>
          <t>VAGGERYD</t>
        </is>
      </c>
      <c r="I19" t="n">
        <v>2.6</v>
      </c>
      <c r="J19" t="n">
        <v>2</v>
      </c>
      <c r="K19" t="n">
        <v>0</v>
      </c>
      <c r="L19" t="n">
        <v>0</v>
      </c>
      <c r="M19" t="n">
        <v>1</v>
      </c>
      <c r="N19" t="n">
        <v>0</v>
      </c>
      <c r="O19" t="n">
        <v>0</v>
      </c>
      <c r="P19" t="n">
        <v>0</v>
      </c>
      <c r="Q19" t="n">
        <v>1</v>
      </c>
      <c r="R19" t="n">
        <v>1</v>
      </c>
      <c r="S19" t="n">
        <v>2</v>
      </c>
      <c r="T19" t="n">
        <v>3</v>
      </c>
      <c r="U19" t="n">
        <v>0</v>
      </c>
      <c r="V19" s="2" t="inlineStr">
        <is>
          <t>Bredgentiana
Nattviol</t>
        </is>
      </c>
      <c r="W19">
        <f>HYPERLINK("https://klasma.github.io/Logging_0665/artfynd/A 58951-2025 artfynd.xlsx", "A 58951-2025")</f>
        <v/>
      </c>
      <c r="X19">
        <f>HYPERLINK("https://klasma.github.io/Logging_0665/kartor/A 58951-2025 karta.png", "A 58951-2025")</f>
        <v/>
      </c>
      <c r="Y19">
        <f>HYPERLINK("https://klasma.github.io/Logging_0665/kartor_geotiff/A 58951-2025 georefererad karta.tif", "A 58951-2025")</f>
        <v/>
      </c>
      <c r="AA19">
        <f>HYPERLINK("https://klasma.github.io/Logging_0665/klagomål/A 58951-2025 FSC-klagomål.docx", "A 58951-2025")</f>
        <v/>
      </c>
      <c r="AB19">
        <f>HYPERLINK("https://klasma.github.io/Logging_0665/klagomålsmail/A 58951-2025 FSC-klagomål mail.docx", "A 58951-2025")</f>
        <v/>
      </c>
      <c r="AC19">
        <f>HYPERLINK("https://klasma.github.io/Logging_0665/tillsyn/A 58951-2025 tillsynsbegäran.docx", "A 58951-2025")</f>
        <v/>
      </c>
      <c r="AD19">
        <f>HYPERLINK("https://klasma.github.io/Logging_0665/tillsynsmail/A 58951-2025 tillsynsbegäran mail.docx", "A 58951-2025")</f>
        <v/>
      </c>
    </row>
    <row r="20" ht="15" customHeight="1">
      <c r="A20" t="inlineStr">
        <is>
          <t>A 36553-2023</t>
        </is>
      </c>
      <c r="B20" t="inlineStr">
        <is>
          <t>avverkningsanmälan</t>
        </is>
      </c>
      <c r="C20" t="inlineStr">
        <is>
          <t>Avverkning för annat ändamål</t>
        </is>
      </c>
      <c r="D20" s="1" t="n">
        <v>45152</v>
      </c>
      <c r="E20" s="1" t="n">
        <v>46233</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46233</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46233</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46233</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46233</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59140-2021</t>
        </is>
      </c>
      <c r="B25" t="inlineStr">
        <is>
          <t>avverkningsanmälan</t>
        </is>
      </c>
      <c r="C25" t="inlineStr">
        <is>
          <t>Föryngringsavverkning</t>
        </is>
      </c>
      <c r="D25" s="1" t="n">
        <v>44490</v>
      </c>
      <c r="E25" s="1" t="n">
        <v>46233</v>
      </c>
      <c r="F25" t="inlineStr">
        <is>
          <t>JÖNKÖPINGS LÄN</t>
        </is>
      </c>
      <c r="G25" t="inlineStr">
        <is>
          <t>VAGGERYD</t>
        </is>
      </c>
      <c r="I25" t="n">
        <v>1.5</v>
      </c>
      <c r="J25" t="n">
        <v>0</v>
      </c>
      <c r="K25" t="n">
        <v>0</v>
      </c>
      <c r="L25" t="n">
        <v>0</v>
      </c>
      <c r="M25" t="n">
        <v>0</v>
      </c>
      <c r="N25" t="n">
        <v>1</v>
      </c>
      <c r="O25" t="n">
        <v>0</v>
      </c>
      <c r="P25" t="n">
        <v>0</v>
      </c>
      <c r="Q25" t="n">
        <v>1</v>
      </c>
      <c r="R25" t="n">
        <v>1</v>
      </c>
      <c r="S25" t="n">
        <v>1</v>
      </c>
      <c r="T25" t="n">
        <v>1</v>
      </c>
      <c r="U25" t="n">
        <v>1</v>
      </c>
      <c r="V25" s="2" t="inlineStr">
        <is>
          <t>Ask</t>
        </is>
      </c>
      <c r="W25">
        <f>HYPERLINK("https://klasma.github.io/Logging_0665/artfynd/A 59140-2021 artfynd.xlsx", "A 59140-2021")</f>
        <v/>
      </c>
      <c r="X25">
        <f>HYPERLINK("https://klasma.github.io/Logging_0665/kartor/A 59140-2021 karta.png", "A 59140-2021")</f>
        <v/>
      </c>
      <c r="Y25">
        <f>HYPERLINK("https://klasma.github.io/Logging_0665/kartor_geotiff/A 59140-2021 georefererad karta.tif", "A 59140-2021")</f>
        <v/>
      </c>
      <c r="AA25">
        <f>HYPERLINK("https://klasma.github.io/Logging_0665/klagomål/A 59140-2021 FSC-klagomål.docx", "A 59140-2021")</f>
        <v/>
      </c>
      <c r="AB25">
        <f>HYPERLINK("https://klasma.github.io/Logging_0665/klagomålsmail/A 59140-2021 FSC-klagomål mail.docx", "A 59140-2021")</f>
        <v/>
      </c>
      <c r="AC25">
        <f>HYPERLINK("https://klasma.github.io/Logging_0665/tillsyn/A 59140-2021 tillsynsbegäran.docx", "A 59140-2021")</f>
        <v/>
      </c>
      <c r="AD25">
        <f>HYPERLINK("https://klasma.github.io/Logging_0665/tillsynsmail/A 59140-2021 tillsynsbegäran mail.docx", "A 59140-2021")</f>
        <v/>
      </c>
    </row>
    <row r="26" ht="15" customHeight="1">
      <c r="A26" t="inlineStr">
        <is>
          <t>A 25653-2024</t>
        </is>
      </c>
      <c r="B26" t="inlineStr">
        <is>
          <t>avverkningsanmälan</t>
        </is>
      </c>
      <c r="C26" t="inlineStr">
        <is>
          <t>Föryngringsavverkning</t>
        </is>
      </c>
      <c r="D26" s="1" t="n">
        <v>45463</v>
      </c>
      <c r="E26" s="1" t="n">
        <v>46233</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16941-2023</t>
        </is>
      </c>
      <c r="B27" t="inlineStr">
        <is>
          <t>avverkningsanmälan</t>
        </is>
      </c>
      <c r="C27" t="inlineStr">
        <is>
          <t>Föryngringsavverkning</t>
        </is>
      </c>
      <c r="D27" s="1" t="n">
        <v>45033</v>
      </c>
      <c r="E27" s="1" t="n">
        <v>46233</v>
      </c>
      <c r="F27" t="inlineStr">
        <is>
          <t>JÖNKÖPINGS LÄN</t>
        </is>
      </c>
      <c r="G27" t="inlineStr">
        <is>
          <t>VAGGERYD</t>
        </is>
      </c>
      <c r="I27" t="n">
        <v>8.699999999999999</v>
      </c>
      <c r="J27" t="n">
        <v>0</v>
      </c>
      <c r="K27" t="n">
        <v>0</v>
      </c>
      <c r="L27" t="n">
        <v>1</v>
      </c>
      <c r="M27" t="n">
        <v>0</v>
      </c>
      <c r="N27" t="n">
        <v>0</v>
      </c>
      <c r="O27" t="n">
        <v>0</v>
      </c>
      <c r="P27" t="n">
        <v>0</v>
      </c>
      <c r="Q27" t="n">
        <v>1</v>
      </c>
      <c r="R27" t="n">
        <v>0</v>
      </c>
      <c r="S27" t="n">
        <v>1</v>
      </c>
      <c r="T27" t="n">
        <v>1</v>
      </c>
      <c r="U27" t="n">
        <v>1</v>
      </c>
      <c r="V27" s="2" t="inlineStr">
        <is>
          <t>Loppstarr</t>
        </is>
      </c>
      <c r="W27">
        <f>HYPERLINK("https://klasma.github.io/Logging_0665/artfynd/A 16941-2023 artfynd.xlsx", "A 16941-2023")</f>
        <v/>
      </c>
      <c r="X27">
        <f>HYPERLINK("https://klasma.github.io/Logging_0665/kartor/A 16941-2023 karta.png", "A 16941-2023")</f>
        <v/>
      </c>
      <c r="Y27">
        <f>HYPERLINK("https://klasma.github.io/Logging_0665/kartor_geotiff/A 16941-2023 georefererad karta.tif", "A 16941-2023")</f>
        <v/>
      </c>
      <c r="Z27">
        <f>HYPERLINK("https://klasma.github.io/Logging_0665/knärot/A 16941-2023 karta knärot.png", "A 16941-2023")</f>
        <v/>
      </c>
      <c r="AA27">
        <f>HYPERLINK("https://klasma.github.io/Logging_0665/klagomål/A 16941-2023 FSC-klagomål.docx", "A 16941-2023")</f>
        <v/>
      </c>
      <c r="AB27">
        <f>HYPERLINK("https://klasma.github.io/Logging_0665/klagomålsmail/A 16941-2023 FSC-klagomål mail.docx", "A 16941-2023")</f>
        <v/>
      </c>
      <c r="AC27">
        <f>HYPERLINK("https://klasma.github.io/Logging_0665/tillsyn/A 16941-2023 tillsynsbegäran.docx", "A 16941-2023")</f>
        <v/>
      </c>
      <c r="AD27">
        <f>HYPERLINK("https://klasma.github.io/Logging_0665/tillsynsmail/A 16941-2023 tillsynsbegäran mail.docx", "A 16941-2023")</f>
        <v/>
      </c>
    </row>
    <row r="28" ht="15" customHeight="1">
      <c r="A28" t="inlineStr">
        <is>
          <t>A 60509-2025</t>
        </is>
      </c>
      <c r="B28" t="inlineStr">
        <is>
          <t>avverkningsanmälan</t>
        </is>
      </c>
      <c r="C28" t="inlineStr">
        <is>
          <t>Föryngringsavverkning</t>
        </is>
      </c>
      <c r="D28" s="1" t="n">
        <v>45995</v>
      </c>
      <c r="E28" s="1" t="n">
        <v>46233</v>
      </c>
      <c r="F28" t="inlineStr">
        <is>
          <t>JÖNKÖPINGS LÄN</t>
        </is>
      </c>
      <c r="G28" t="inlineStr">
        <is>
          <t>VAGGERYD</t>
        </is>
      </c>
      <c r="I28" t="n">
        <v>2.1</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HYPERLINK("https://klasma.github.io/Logging_0665/artfynd/A 60509-2025 artfynd.xlsx", "A 60509-2025")</f>
        <v/>
      </c>
      <c r="X28">
        <f>HYPERLINK("https://klasma.github.io/Logging_0665/kartor/A 60509-2025 karta.png", "A 60509-2025")</f>
        <v/>
      </c>
      <c r="Y28">
        <f>HYPERLINK("https://klasma.github.io/Logging_0665/kartor_geotiff/A 60509-2025 georefererad karta.tif", "A 60509-2025")</f>
        <v/>
      </c>
      <c r="AA28">
        <f>HYPERLINK("https://klasma.github.io/Logging_0665/klagomål/A 60509-2025 FSC-klagomål.docx", "A 60509-2025")</f>
        <v/>
      </c>
      <c r="AB28">
        <f>HYPERLINK("https://klasma.github.io/Logging_0665/klagomålsmail/A 60509-2025 FSC-klagomål mail.docx", "A 60509-2025")</f>
        <v/>
      </c>
      <c r="AC28">
        <f>HYPERLINK("https://klasma.github.io/Logging_0665/tillsyn/A 60509-2025 tillsynsbegäran.docx", "A 60509-2025")</f>
        <v/>
      </c>
      <c r="AD28">
        <f>HYPERLINK("https://klasma.github.io/Logging_0665/tillsynsmail/A 60509-2025 tillsynsbegäran mail.docx", "A 60509-2025")</f>
        <v/>
      </c>
    </row>
    <row r="29" ht="15" customHeight="1">
      <c r="A29" t="inlineStr">
        <is>
          <t>A 1420-2026</t>
        </is>
      </c>
      <c r="B29" t="inlineStr">
        <is>
          <t>avverkningsanmälan</t>
        </is>
      </c>
      <c r="C29" t="inlineStr">
        <is>
          <t>Avverkning för att bevara och utveckla /försöksver</t>
        </is>
      </c>
      <c r="D29" s="1" t="n">
        <v>46031</v>
      </c>
      <c r="E29" s="1" t="n">
        <v>46233</v>
      </c>
      <c r="F29" t="inlineStr">
        <is>
          <t>JÖNKÖPINGS LÄN</t>
        </is>
      </c>
      <c r="G29" t="inlineStr">
        <is>
          <t>VAGGERYD</t>
        </is>
      </c>
      <c r="H29" t="inlineStr">
        <is>
          <t>Sveaskog</t>
        </is>
      </c>
      <c r="I29" t="n">
        <v>5.1</v>
      </c>
      <c r="J29" t="n">
        <v>0</v>
      </c>
      <c r="K29" t="n">
        <v>1</v>
      </c>
      <c r="L29" t="n">
        <v>0</v>
      </c>
      <c r="M29" t="n">
        <v>0</v>
      </c>
      <c r="N29" t="n">
        <v>0</v>
      </c>
      <c r="O29" t="n">
        <v>0</v>
      </c>
      <c r="P29" t="n">
        <v>0</v>
      </c>
      <c r="Q29" t="n">
        <v>0</v>
      </c>
      <c r="R29" t="n">
        <v>0</v>
      </c>
      <c r="S29" t="n">
        <v>1</v>
      </c>
      <c r="T29" t="n">
        <v>1</v>
      </c>
      <c r="U29" t="n">
        <v>0</v>
      </c>
      <c r="V29" s="2" t="inlineStr">
        <is>
          <t>Stenporella</t>
        </is>
      </c>
      <c r="W29">
        <f>HYPERLINK("https://klasma.github.io/Logging_0665/artfynd/A 1420-2026 artfynd.xlsx", "A 1420-2026")</f>
        <v/>
      </c>
      <c r="X29">
        <f>HYPERLINK("https://klasma.github.io/Logging_0665/kartor/A 1420-2026 karta.png", "A 1420-2026")</f>
        <v/>
      </c>
      <c r="Y29">
        <f>HYPERLINK("https://klasma.github.io/Logging_0665/kartor_geotiff/A 1420-2026 georefererad karta.tif", "A 1420-2026")</f>
        <v/>
      </c>
      <c r="AA29">
        <f>HYPERLINK("https://klasma.github.io/Logging_0665/klagomål/A 1420-2026 FSC-klagomål.docx", "A 1420-2026")</f>
        <v/>
      </c>
      <c r="AB29">
        <f>HYPERLINK("https://klasma.github.io/Logging_0665/klagomålsmail/A 1420-2026 FSC-klagomål mail.docx", "A 1420-2026")</f>
        <v/>
      </c>
      <c r="AC29">
        <f>HYPERLINK("https://klasma.github.io/Logging_0665/tillsyn/A 1420-2026 tillsynsbegäran.docx", "A 1420-2026")</f>
        <v/>
      </c>
      <c r="AD29">
        <f>HYPERLINK("https://klasma.github.io/Logging_0665/tillsynsmail/A 1420-2026 tillsynsbegäran mail.docx", "A 1420-2026")</f>
        <v/>
      </c>
    </row>
    <row r="30" ht="15" customHeight="1">
      <c r="A30" t="inlineStr">
        <is>
          <t>A 13684-2022</t>
        </is>
      </c>
      <c r="B30" t="inlineStr">
        <is>
          <t>avverkningsanmälan</t>
        </is>
      </c>
      <c r="C30" t="inlineStr">
        <is>
          <t>Föryngringsavverkning</t>
        </is>
      </c>
      <c r="D30" s="1" t="n">
        <v>44648</v>
      </c>
      <c r="E30" s="1" t="n">
        <v>46233</v>
      </c>
      <c r="F30" t="inlineStr">
        <is>
          <t>JÖNKÖPINGS LÄN</t>
        </is>
      </c>
      <c r="G30" t="inlineStr">
        <is>
          <t>VAGGERYD</t>
        </is>
      </c>
      <c r="I30" t="n">
        <v>1</v>
      </c>
      <c r="J30" t="n">
        <v>0</v>
      </c>
      <c r="K30" t="n">
        <v>0</v>
      </c>
      <c r="L30" t="n">
        <v>1</v>
      </c>
      <c r="M30" t="n">
        <v>0</v>
      </c>
      <c r="N30" t="n">
        <v>0</v>
      </c>
      <c r="O30" t="n">
        <v>0</v>
      </c>
      <c r="P30" t="n">
        <v>0</v>
      </c>
      <c r="Q30" t="n">
        <v>1</v>
      </c>
      <c r="R30" t="n">
        <v>0</v>
      </c>
      <c r="S30" t="n">
        <v>1</v>
      </c>
      <c r="T30" t="n">
        <v>1</v>
      </c>
      <c r="U30" t="n">
        <v>0</v>
      </c>
      <c r="V30" s="2" t="inlineStr">
        <is>
          <t>Jungfrulin</t>
        </is>
      </c>
      <c r="W30">
        <f>HYPERLINK("https://klasma.github.io/Logging_0665/artfynd/A 13684-2022 artfynd.xlsx", "A 13684-2022")</f>
        <v/>
      </c>
      <c r="X30">
        <f>HYPERLINK("https://klasma.github.io/Logging_0665/kartor/A 13684-2022 karta.png", "A 13684-2022")</f>
        <v/>
      </c>
      <c r="Y30">
        <f>HYPERLINK("https://klasma.github.io/Logging_0665/kartor_geotiff/A 13684-2022 georefererad karta.tif", "A 13684-2022")</f>
        <v/>
      </c>
      <c r="AA30">
        <f>HYPERLINK("https://klasma.github.io/Logging_0665/klagomål/A 13684-2022 FSC-klagomål.docx", "A 13684-2022")</f>
        <v/>
      </c>
      <c r="AB30">
        <f>HYPERLINK("https://klasma.github.io/Logging_0665/klagomålsmail/A 13684-2022 FSC-klagomål mail.docx", "A 13684-2022")</f>
        <v/>
      </c>
      <c r="AC30">
        <f>HYPERLINK("https://klasma.github.io/Logging_0665/tillsyn/A 13684-2022 tillsynsbegäran.docx", "A 13684-2022")</f>
        <v/>
      </c>
      <c r="AD30">
        <f>HYPERLINK("https://klasma.github.io/Logging_0665/tillsynsmail/A 13684-2022 tillsynsbegäran mail.docx", "A 13684-2022")</f>
        <v/>
      </c>
    </row>
    <row r="31" ht="15" customHeight="1">
      <c r="A31" t="inlineStr">
        <is>
          <t>A 43652-2023</t>
        </is>
      </c>
      <c r="B31" t="inlineStr">
        <is>
          <t>avverkningsanmälan</t>
        </is>
      </c>
      <c r="C31" t="inlineStr">
        <is>
          <t>Avverkning för annat ändamål</t>
        </is>
      </c>
      <c r="D31" s="1" t="n">
        <v>45187</v>
      </c>
      <c r="E31" s="1" t="n">
        <v>46233</v>
      </c>
      <c r="F31" t="inlineStr">
        <is>
          <t>JÖNKÖPINGS LÄN</t>
        </is>
      </c>
      <c r="G31" t="inlineStr">
        <is>
          <t>VAGGERYD</t>
        </is>
      </c>
      <c r="H31" t="inlineStr">
        <is>
          <t>Sveaskog</t>
        </is>
      </c>
      <c r="I31" t="n">
        <v>1.1</v>
      </c>
      <c r="J31" t="n">
        <v>1</v>
      </c>
      <c r="K31" t="n">
        <v>0</v>
      </c>
      <c r="L31" t="n">
        <v>0</v>
      </c>
      <c r="M31" t="n">
        <v>0</v>
      </c>
      <c r="N31" t="n">
        <v>0</v>
      </c>
      <c r="O31" t="n">
        <v>0</v>
      </c>
      <c r="P31" t="n">
        <v>0</v>
      </c>
      <c r="Q31" t="n">
        <v>0</v>
      </c>
      <c r="R31" t="n">
        <v>0</v>
      </c>
      <c r="S31" t="n">
        <v>1</v>
      </c>
      <c r="T31" t="n">
        <v>1</v>
      </c>
      <c r="U31" t="n">
        <v>0</v>
      </c>
      <c r="V31" s="2" t="inlineStr">
        <is>
          <t>Revlummer</t>
        </is>
      </c>
      <c r="W31">
        <f>HYPERLINK("https://klasma.github.io/Logging_0665/artfynd/A 43652-2023 artfynd.xlsx", "A 43652-2023")</f>
        <v/>
      </c>
      <c r="X31">
        <f>HYPERLINK("https://klasma.github.io/Logging_0665/kartor/A 43652-2023 karta.png", "A 43652-2023")</f>
        <v/>
      </c>
      <c r="Y31">
        <f>HYPERLINK("https://klasma.github.io/Logging_0665/kartor_geotiff/A 43652-2023 georefererad karta.tif", "A 43652-2023")</f>
        <v/>
      </c>
      <c r="AA31">
        <f>HYPERLINK("https://klasma.github.io/Logging_0665/klagomål/A 43652-2023 FSC-klagomål.docx", "A 43652-2023")</f>
        <v/>
      </c>
      <c r="AB31">
        <f>HYPERLINK("https://klasma.github.io/Logging_0665/klagomålsmail/A 43652-2023 FSC-klagomål mail.docx", "A 43652-2023")</f>
        <v/>
      </c>
      <c r="AC31">
        <f>HYPERLINK("https://klasma.github.io/Logging_0665/tillsyn/A 43652-2023 tillsynsbegäran.docx", "A 43652-2023")</f>
        <v/>
      </c>
      <c r="AD31">
        <f>HYPERLINK("https://klasma.github.io/Logging_0665/tillsynsmail/A 43652-2023 tillsynsbegäran mail.docx", "A 43652-2023")</f>
        <v/>
      </c>
    </row>
    <row r="32" ht="15" customHeight="1">
      <c r="A32" t="inlineStr">
        <is>
          <t>A 43654-2023</t>
        </is>
      </c>
      <c r="B32" t="inlineStr">
        <is>
          <t>avverkningsanmälan</t>
        </is>
      </c>
      <c r="C32" t="inlineStr">
        <is>
          <t>Avverkning för annat ändamål</t>
        </is>
      </c>
      <c r="D32" s="1" t="n">
        <v>45187</v>
      </c>
      <c r="E32" s="1" t="n">
        <v>46233</v>
      </c>
      <c r="F32" t="inlineStr">
        <is>
          <t>JÖNKÖPINGS LÄN</t>
        </is>
      </c>
      <c r="G32" t="inlineStr">
        <is>
          <t>VAGGERYD</t>
        </is>
      </c>
      <c r="H32" t="inlineStr">
        <is>
          <t>Sveaskog</t>
        </is>
      </c>
      <c r="I32" t="n">
        <v>0.2</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HYPERLINK("https://klasma.github.io/Logging_0665/artfynd/A 43654-2023 artfynd.xlsx", "A 43654-2023")</f>
        <v/>
      </c>
      <c r="X32">
        <f>HYPERLINK("https://klasma.github.io/Logging_0665/kartor/A 43654-2023 karta.png", "A 43654-2023")</f>
        <v/>
      </c>
      <c r="Y32">
        <f>HYPERLINK("https://klasma.github.io/Logging_0665/kartor_geotiff/A 43654-2023 georefererad karta.tif", "A 43654-2023")</f>
        <v/>
      </c>
      <c r="AA32">
        <f>HYPERLINK("https://klasma.github.io/Logging_0665/klagomål/A 43654-2023 FSC-klagomål.docx", "A 43654-2023")</f>
        <v/>
      </c>
      <c r="AB32">
        <f>HYPERLINK("https://klasma.github.io/Logging_0665/klagomålsmail/A 43654-2023 FSC-klagomål mail.docx", "A 43654-2023")</f>
        <v/>
      </c>
      <c r="AC32">
        <f>HYPERLINK("https://klasma.github.io/Logging_0665/tillsyn/A 43654-2023 tillsynsbegäran.docx", "A 43654-2023")</f>
        <v/>
      </c>
      <c r="AD32">
        <f>HYPERLINK("https://klasma.github.io/Logging_0665/tillsynsmail/A 43654-2023 tillsynsbegäran mail.docx", "A 43654-2023")</f>
        <v/>
      </c>
    </row>
    <row r="33" ht="15" customHeight="1">
      <c r="A33" t="inlineStr">
        <is>
          <t>A 45203-2021</t>
        </is>
      </c>
      <c r="B33" t="inlineStr">
        <is>
          <t>avverkningsanmälan</t>
        </is>
      </c>
      <c r="C33" t="inlineStr">
        <is>
          <t>Föryngringsavverkning</t>
        </is>
      </c>
      <c r="D33" s="1" t="n">
        <v>44438</v>
      </c>
      <c r="E33" s="1" t="n">
        <v>46233</v>
      </c>
      <c r="F33" t="inlineStr">
        <is>
          <t>JÖNKÖPINGS LÄN</t>
        </is>
      </c>
      <c r="G33" t="inlineStr">
        <is>
          <t>VAGGERYD</t>
        </is>
      </c>
      <c r="I33" t="n">
        <v>2.3</v>
      </c>
      <c r="J33" t="n">
        <v>1</v>
      </c>
      <c r="K33" t="n">
        <v>0</v>
      </c>
      <c r="L33" t="n">
        <v>0</v>
      </c>
      <c r="M33" t="n">
        <v>0</v>
      </c>
      <c r="N33" t="n">
        <v>0</v>
      </c>
      <c r="O33" t="n">
        <v>0</v>
      </c>
      <c r="P33" t="n">
        <v>0</v>
      </c>
      <c r="Q33" t="n">
        <v>0</v>
      </c>
      <c r="R33" t="n">
        <v>0</v>
      </c>
      <c r="S33" t="n">
        <v>1</v>
      </c>
      <c r="T33" t="n">
        <v>1</v>
      </c>
      <c r="U33" t="n">
        <v>0</v>
      </c>
      <c r="V33" s="2" t="inlineStr">
        <is>
          <t>Hasselmus</t>
        </is>
      </c>
      <c r="W33">
        <f>HYPERLINK("https://klasma.github.io/Logging_0665/artfynd/A 45203-2021 artfynd.xlsx", "A 45203-2021")</f>
        <v/>
      </c>
      <c r="X33">
        <f>HYPERLINK("https://klasma.github.io/Logging_0665/kartor/A 45203-2021 karta.png", "A 45203-2021")</f>
        <v/>
      </c>
      <c r="Y33">
        <f>HYPERLINK("https://klasma.github.io/Logging_0665/kartor_geotiff/A 45203-2021 georefererad karta.tif", "A 45203-2021")</f>
        <v/>
      </c>
      <c r="AA33">
        <f>HYPERLINK("https://klasma.github.io/Logging_0665/klagomål/A 45203-2021 FSC-klagomål.docx", "A 45203-2021")</f>
        <v/>
      </c>
      <c r="AB33">
        <f>HYPERLINK("https://klasma.github.io/Logging_0665/klagomålsmail/A 45203-2021 FSC-klagomål mail.docx", "A 45203-2021")</f>
        <v/>
      </c>
      <c r="AC33">
        <f>HYPERLINK("https://klasma.github.io/Logging_0665/tillsyn/A 45203-2021 tillsynsbegäran.docx", "A 45203-2021")</f>
        <v/>
      </c>
      <c r="AD33">
        <f>HYPERLINK("https://klasma.github.io/Logging_0665/tillsynsmail/A 45203-2021 tillsynsbegäran mail.docx", "A 45203-2021")</f>
        <v/>
      </c>
    </row>
    <row r="34" ht="15" customHeight="1">
      <c r="A34" t="inlineStr">
        <is>
          <t>S 76-2022</t>
        </is>
      </c>
      <c r="B34" t="inlineStr">
        <is>
          <t>samrådsanmälan</t>
        </is>
      </c>
      <c r="C34" t="inlineStr">
        <is>
          <t>Annan skogsbruksåtgärd</t>
        </is>
      </c>
      <c r="D34" s="1" t="n">
        <v>44568</v>
      </c>
      <c r="E34" s="1" t="n">
        <v>46233</v>
      </c>
      <c r="F34" t="inlineStr">
        <is>
          <t>JÖNKÖPINGS LÄN</t>
        </is>
      </c>
      <c r="G34" t="inlineStr">
        <is>
          <t>VAGGERYD</t>
        </is>
      </c>
      <c r="I34" t="n">
        <v>4.7</v>
      </c>
      <c r="J34" t="n">
        <v>0</v>
      </c>
      <c r="K34" t="n">
        <v>0</v>
      </c>
      <c r="L34" t="n">
        <v>0</v>
      </c>
      <c r="M34" t="n">
        <v>1</v>
      </c>
      <c r="N34" t="n">
        <v>0</v>
      </c>
      <c r="O34" t="n">
        <v>0</v>
      </c>
      <c r="P34" t="n">
        <v>0</v>
      </c>
      <c r="Q34" t="n">
        <v>1</v>
      </c>
      <c r="R34" t="n">
        <v>1</v>
      </c>
      <c r="S34" t="n">
        <v>1</v>
      </c>
      <c r="T34" t="n">
        <v>1</v>
      </c>
      <c r="U34" t="n">
        <v>1</v>
      </c>
      <c r="V34" s="2" t="inlineStr">
        <is>
          <t>Slåttergubbe</t>
        </is>
      </c>
      <c r="W34">
        <f>HYPERLINK("https://klasma.github.io/Logging_0665/artfynd/S 76-2022 artfynd.xlsx", "S 76-2022")</f>
        <v/>
      </c>
      <c r="X34">
        <f>HYPERLINK("https://klasma.github.io/Logging_0665/kartor/S 76-2022 karta.png", "S 76-2022")</f>
        <v/>
      </c>
      <c r="Y34">
        <f>HYPERLINK("https://klasma.github.io/Logging_0665/kartor_geotiff/S 76-2022 georefererad karta.tif", "S 76-2022")</f>
        <v/>
      </c>
      <c r="AA34">
        <f>HYPERLINK("https://klasma.github.io/Logging_0665/klagomål/S 76-2022 FSC-klagomål.docx", "S 76-2022")</f>
        <v/>
      </c>
      <c r="AB34">
        <f>HYPERLINK("https://klasma.github.io/Logging_0665/klagomålsmail/S 76-2022 FSC-klagomål mail.docx", "S 76-2022")</f>
        <v/>
      </c>
      <c r="AC34">
        <f>HYPERLINK("https://klasma.github.io/Logging_0665/tillsyn/S 76-2022 tillsynsbegäran.docx", "S 76-2022")</f>
        <v/>
      </c>
      <c r="AD34">
        <f>HYPERLINK("https://klasma.github.io/Logging_0665/tillsynsmail/S 76-2022 tillsynsbegäran mail.docx", "S 76-2022")</f>
        <v/>
      </c>
    </row>
    <row r="35" ht="15" customHeight="1">
      <c r="A35" t="inlineStr">
        <is>
          <t>S 271-2023</t>
        </is>
      </c>
      <c r="B35" t="inlineStr">
        <is>
          <t>samrådsanmälan</t>
        </is>
      </c>
      <c r="C35" t="inlineStr">
        <is>
          <t>Askåterföring</t>
        </is>
      </c>
      <c r="D35" s="1" t="n">
        <v>44955</v>
      </c>
      <c r="E35" s="1" t="n">
        <v>46233</v>
      </c>
      <c r="F35" t="inlineStr">
        <is>
          <t>JÖNKÖPINGS LÄN</t>
        </is>
      </c>
      <c r="G35" t="inlineStr">
        <is>
          <t>VAGGERYD</t>
        </is>
      </c>
      <c r="H35" t="inlineStr">
        <is>
          <t>Sveaskog</t>
        </is>
      </c>
      <c r="I35" t="n">
        <v>85</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HYPERLINK("https://klasma.github.io/Logging_0665/artfynd/S 271-2023 artfynd.xlsx", "S 271-2023")</f>
        <v/>
      </c>
      <c r="X35">
        <f>HYPERLINK("https://klasma.github.io/Logging_0665/kartor/S 271-2023 karta.png", "S 271-2023")</f>
        <v/>
      </c>
      <c r="Y35">
        <f>HYPERLINK("https://klasma.github.io/Logging_0665/kartor_geotiff/S 271-2023 georefererad karta.tif", "S 271-2023")</f>
        <v/>
      </c>
      <c r="AA35">
        <f>HYPERLINK("https://klasma.github.io/Logging_0665/klagomål/S 271-2023 FSC-klagomål.docx", "S 271-2023")</f>
        <v/>
      </c>
      <c r="AB35">
        <f>HYPERLINK("https://klasma.github.io/Logging_0665/klagomålsmail/S 271-2023 FSC-klagomål mail.docx", "S 271-2023")</f>
        <v/>
      </c>
      <c r="AC35">
        <f>HYPERLINK("https://klasma.github.io/Logging_0665/tillsyn/S 271-2023 tillsynsbegäran.docx", "S 271-2023")</f>
        <v/>
      </c>
      <c r="AD35">
        <f>HYPERLINK("https://klasma.github.io/Logging_0665/tillsynsmail/S 271-2023 tillsynsbegäran mail.docx", "S 271-2023")</f>
        <v/>
      </c>
    </row>
    <row r="36" ht="15" customHeight="1">
      <c r="A36" t="inlineStr">
        <is>
          <t>S 502-2023</t>
        </is>
      </c>
      <c r="B36" t="inlineStr">
        <is>
          <t>samrådsanmälan</t>
        </is>
      </c>
      <c r="C36" t="inlineStr">
        <is>
          <t>Askåterföring</t>
        </is>
      </c>
      <c r="D36" s="1" t="n">
        <v>44966</v>
      </c>
      <c r="E36" s="1" t="n">
        <v>46233</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46233</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46233</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46233</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14029-2022</t>
        </is>
      </c>
      <c r="B40" t="inlineStr">
        <is>
          <t>avverkningsanmälan</t>
        </is>
      </c>
      <c r="C40" t="inlineStr">
        <is>
          <t>Avverkning för annat ändamål</t>
        </is>
      </c>
      <c r="D40" s="1" t="n">
        <v>44650</v>
      </c>
      <c r="E40" s="1" t="n">
        <v>46233</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43286-2021</t>
        </is>
      </c>
      <c r="B41" t="inlineStr">
        <is>
          <t>avverkningsanmälan</t>
        </is>
      </c>
      <c r="C41" t="inlineStr">
        <is>
          <t>Föryngringsavverkning</t>
        </is>
      </c>
      <c r="D41" s="1" t="n">
        <v>44432</v>
      </c>
      <c r="E41" s="1" t="n">
        <v>46233</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12813-2022</t>
        </is>
      </c>
      <c r="B42" t="inlineStr">
        <is>
          <t>avverkningsanmälan</t>
        </is>
      </c>
      <c r="C42" t="inlineStr">
        <is>
          <t>Avverkning för annat ändamål</t>
        </is>
      </c>
      <c r="D42" s="1" t="n">
        <v>44642</v>
      </c>
      <c r="E42" s="1" t="n">
        <v>46233</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55695-2021</t>
        </is>
      </c>
      <c r="B43" t="inlineStr">
        <is>
          <t>avverkningsanmälan</t>
        </is>
      </c>
      <c r="C43" t="inlineStr">
        <is>
          <t>Föryngringsavverkning</t>
        </is>
      </c>
      <c r="D43" s="1" t="n">
        <v>44475</v>
      </c>
      <c r="E43" s="1" t="n">
        <v>46233</v>
      </c>
      <c r="F43" t="inlineStr">
        <is>
          <t>JÖNKÖPINGS LÄN</t>
        </is>
      </c>
      <c r="G43" t="inlineStr">
        <is>
          <t>VAGGERYD</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53499-2021</t>
        </is>
      </c>
      <c r="B44" t="inlineStr">
        <is>
          <t>avverkningsanmälan</t>
        </is>
      </c>
      <c r="C44" t="inlineStr">
        <is>
          <t>Föryngringsavverkning</t>
        </is>
      </c>
      <c r="D44" s="1" t="n">
        <v>44468</v>
      </c>
      <c r="E44" s="1" t="n">
        <v>46233</v>
      </c>
      <c r="F44" t="inlineStr">
        <is>
          <t>JÖNKÖPINGS LÄN</t>
        </is>
      </c>
      <c r="G44" t="inlineStr">
        <is>
          <t>VAGGERYD</t>
        </is>
      </c>
      <c r="H44" t="inlineStr">
        <is>
          <t>Sveaskog</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9963-2022</t>
        </is>
      </c>
      <c r="B45" t="inlineStr">
        <is>
          <t>avverkningsanmälan</t>
        </is>
      </c>
      <c r="C45" t="inlineStr">
        <is>
          <t>Avverkning för annat ändamål</t>
        </is>
      </c>
      <c r="D45" s="1" t="n">
        <v>44621</v>
      </c>
      <c r="E45" s="1" t="n">
        <v>46233</v>
      </c>
      <c r="F45" t="inlineStr">
        <is>
          <t>JÖNKÖPINGS LÄN</t>
        </is>
      </c>
      <c r="G45" t="inlineStr">
        <is>
          <t>VAGGERYD</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4308-2022</t>
        </is>
      </c>
      <c r="B46" t="inlineStr">
        <is>
          <t>avverkningsanmälan</t>
        </is>
      </c>
      <c r="C46" t="inlineStr">
        <is>
          <t>Föryngringsavverkning</t>
        </is>
      </c>
      <c r="D46" s="1" t="n">
        <v>44588</v>
      </c>
      <c r="E46" s="1" t="n">
        <v>46233</v>
      </c>
      <c r="F46" t="inlineStr">
        <is>
          <t>JÖNKÖPINGS LÄN</t>
        </is>
      </c>
      <c r="G46" t="inlineStr">
        <is>
          <t>VAGGERYD</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39765-2022</t>
        </is>
      </c>
      <c r="B47" t="inlineStr">
        <is>
          <t>avverkningsanmälan</t>
        </is>
      </c>
      <c r="C47" t="inlineStr">
        <is>
          <t>Föryngringsavverkning</t>
        </is>
      </c>
      <c r="D47" s="1" t="n">
        <v>44819</v>
      </c>
      <c r="E47" s="1" t="n">
        <v>46233</v>
      </c>
      <c r="F47" t="inlineStr">
        <is>
          <t>JÖNKÖPINGS LÄN</t>
        </is>
      </c>
      <c r="G47" t="inlineStr">
        <is>
          <t>VAGGERYD</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52907-2021</t>
        </is>
      </c>
      <c r="B48" t="inlineStr">
        <is>
          <t>avverkningsanmälan</t>
        </is>
      </c>
      <c r="C48" t="inlineStr">
        <is>
          <t>Föryngringsavverkning</t>
        </is>
      </c>
      <c r="D48" s="1" t="n">
        <v>44467</v>
      </c>
      <c r="E48" s="1" t="n">
        <v>46233</v>
      </c>
      <c r="F48" t="inlineStr">
        <is>
          <t>JÖNKÖPINGS LÄN</t>
        </is>
      </c>
      <c r="G48" t="inlineStr">
        <is>
          <t>VAGGERYD</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57696-2021</t>
        </is>
      </c>
      <c r="B49" t="inlineStr">
        <is>
          <t>avverkningsanmälan</t>
        </is>
      </c>
      <c r="C49" t="inlineStr">
        <is>
          <t>Avverkning för att bevara och utveckla /försöksver</t>
        </is>
      </c>
      <c r="D49" s="1" t="n">
        <v>44484</v>
      </c>
      <c r="E49" s="1" t="n">
        <v>46233</v>
      </c>
      <c r="F49" t="inlineStr">
        <is>
          <t>JÖNKÖPINGS LÄN</t>
        </is>
      </c>
      <c r="G49" t="inlineStr">
        <is>
          <t>VAGGERYD</t>
        </is>
      </c>
      <c r="H49" t="inlineStr">
        <is>
          <t>Sveaskog</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56371-2021</t>
        </is>
      </c>
      <c r="B50" t="inlineStr">
        <is>
          <t>avverkningsanmälan</t>
        </is>
      </c>
      <c r="C50" t="inlineStr">
        <is>
          <t>Föryngringsavverkning</t>
        </is>
      </c>
      <c r="D50" s="1" t="n">
        <v>44480</v>
      </c>
      <c r="E50" s="1" t="n">
        <v>46233</v>
      </c>
      <c r="F50" t="inlineStr">
        <is>
          <t>JÖNKÖPINGS LÄN</t>
        </is>
      </c>
      <c r="G50" t="inlineStr">
        <is>
          <t>VAGGERYD</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26636-2022</t>
        </is>
      </c>
      <c r="B51" t="inlineStr">
        <is>
          <t>avverkningsanmälan</t>
        </is>
      </c>
      <c r="C51" t="inlineStr">
        <is>
          <t>Föryngringsavverkning</t>
        </is>
      </c>
      <c r="D51" s="1" t="n">
        <v>44739</v>
      </c>
      <c r="E51" s="1" t="n">
        <v>46233</v>
      </c>
      <c r="F51" t="inlineStr">
        <is>
          <t>JÖNKÖPINGS LÄN</t>
        </is>
      </c>
      <c r="G51" t="inlineStr">
        <is>
          <t>VAGGERYD</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56375-2021</t>
        </is>
      </c>
      <c r="B52" t="inlineStr">
        <is>
          <t>avverkningsanmälan</t>
        </is>
      </c>
      <c r="C52" t="inlineStr">
        <is>
          <t>Föryngringsavverkning</t>
        </is>
      </c>
      <c r="D52" s="1" t="n">
        <v>44480</v>
      </c>
      <c r="E52" s="1" t="n">
        <v>46233</v>
      </c>
      <c r="F52" t="inlineStr">
        <is>
          <t>JÖNKÖPINGS LÄN</t>
        </is>
      </c>
      <c r="G52" t="inlineStr">
        <is>
          <t>VAGGERYD</t>
        </is>
      </c>
      <c r="H52" t="inlineStr">
        <is>
          <t>Sveaskog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22516-2022</t>
        </is>
      </c>
      <c r="B53" t="inlineStr">
        <is>
          <t>avverkningsanmälan</t>
        </is>
      </c>
      <c r="C53" t="inlineStr">
        <is>
          <t>Föryngringsavverkning</t>
        </is>
      </c>
      <c r="D53" s="1" t="n">
        <v>44713</v>
      </c>
      <c r="E53" s="1" t="n">
        <v>46233</v>
      </c>
      <c r="F53" t="inlineStr">
        <is>
          <t>JÖNKÖPINGS LÄN</t>
        </is>
      </c>
      <c r="G53" t="inlineStr">
        <is>
          <t>VAGGERYD</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47926-2022</t>
        </is>
      </c>
      <c r="B54" t="inlineStr">
        <is>
          <t>avverkningsanmälan</t>
        </is>
      </c>
      <c r="C54" t="inlineStr">
        <is>
          <t>Föryngringsavverkning</t>
        </is>
      </c>
      <c r="D54" s="1" t="n">
        <v>44855</v>
      </c>
      <c r="E54" s="1" t="n">
        <v>46233</v>
      </c>
      <c r="F54" t="inlineStr">
        <is>
          <t>JÖNKÖPINGS LÄN</t>
        </is>
      </c>
      <c r="G54" t="inlineStr">
        <is>
          <t>VAGGERYD</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5986-2022</t>
        </is>
      </c>
      <c r="B55" t="inlineStr">
        <is>
          <t>avverkningsanmälan</t>
        </is>
      </c>
      <c r="C55" t="inlineStr">
        <is>
          <t>Föryngringsavverkning</t>
        </is>
      </c>
      <c r="D55" s="1" t="n">
        <v>44599</v>
      </c>
      <c r="E55" s="1" t="n">
        <v>46233</v>
      </c>
      <c r="F55" t="inlineStr">
        <is>
          <t>JÖNKÖPINGS LÄN</t>
        </is>
      </c>
      <c r="G55" t="inlineStr">
        <is>
          <t>VAGGERYD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49153-2021</t>
        </is>
      </c>
      <c r="B56" t="inlineStr">
        <is>
          <t>avverkningsanmälan</t>
        </is>
      </c>
      <c r="C56" t="inlineStr">
        <is>
          <t>Föryngringsavverkning</t>
        </is>
      </c>
      <c r="D56" s="1" t="n">
        <v>44453</v>
      </c>
      <c r="E56" s="1" t="n">
        <v>46233</v>
      </c>
      <c r="F56" t="inlineStr">
        <is>
          <t>JÖNKÖPINGS LÄN</t>
        </is>
      </c>
      <c r="G56" t="inlineStr">
        <is>
          <t>VAGGERYD</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52383-2021</t>
        </is>
      </c>
      <c r="B57" t="inlineStr">
        <is>
          <t>avverkningsanmälan</t>
        </is>
      </c>
      <c r="C57" t="inlineStr">
        <is>
          <t>Föryngringsavverkning</t>
        </is>
      </c>
      <c r="D57" s="1" t="n">
        <v>44465</v>
      </c>
      <c r="E57" s="1" t="n">
        <v>46233</v>
      </c>
      <c r="F57" t="inlineStr">
        <is>
          <t>JÖNKÖPINGS LÄN</t>
        </is>
      </c>
      <c r="G57" t="inlineStr">
        <is>
          <t>VAGGERYD</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53501-2021</t>
        </is>
      </c>
      <c r="B58" t="inlineStr">
        <is>
          <t>avverkningsanmälan</t>
        </is>
      </c>
      <c r="C58" t="inlineStr">
        <is>
          <t>Föryngringsavverkning</t>
        </is>
      </c>
      <c r="D58" s="1" t="n">
        <v>44468</v>
      </c>
      <c r="E58" s="1" t="n">
        <v>46233</v>
      </c>
      <c r="F58" t="inlineStr">
        <is>
          <t>JÖNKÖPINGS LÄN</t>
        </is>
      </c>
      <c r="G58" t="inlineStr">
        <is>
          <t>VAGGERYD</t>
        </is>
      </c>
      <c r="H58" t="inlineStr">
        <is>
          <t>Sveaskog</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73189-2021</t>
        </is>
      </c>
      <c r="B59" t="inlineStr">
        <is>
          <t>avverkningsanmälan</t>
        </is>
      </c>
      <c r="C59" t="inlineStr">
        <is>
          <t>Avverkning för att bevara och utveckla /försöksver</t>
        </is>
      </c>
      <c r="D59" s="1" t="n">
        <v>44550</v>
      </c>
      <c r="E59" s="1" t="n">
        <v>46233</v>
      </c>
      <c r="F59" t="inlineStr">
        <is>
          <t>JÖNKÖPINGS LÄN</t>
        </is>
      </c>
      <c r="G59" t="inlineStr">
        <is>
          <t>VAGGERYD</t>
        </is>
      </c>
      <c r="H59" t="inlineStr">
        <is>
          <t>Sveaskog</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8820-2022</t>
        </is>
      </c>
      <c r="B60" t="inlineStr">
        <is>
          <t>avverkningsanmälan</t>
        </is>
      </c>
      <c r="C60" t="inlineStr">
        <is>
          <t>Föryngringsavverkning</t>
        </is>
      </c>
      <c r="D60" s="1" t="n">
        <v>44614</v>
      </c>
      <c r="E60" s="1" t="n">
        <v>46233</v>
      </c>
      <c r="F60" t="inlineStr">
        <is>
          <t>JÖNKÖPINGS LÄN</t>
        </is>
      </c>
      <c r="G60" t="inlineStr">
        <is>
          <t>VAGGERYD</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73123-2021</t>
        </is>
      </c>
      <c r="B61" t="inlineStr">
        <is>
          <t>avverkningsanmälan</t>
        </is>
      </c>
      <c r="C61" t="inlineStr">
        <is>
          <t>Föryngringsavverkning</t>
        </is>
      </c>
      <c r="D61" s="1" t="n">
        <v>44550</v>
      </c>
      <c r="E61" s="1" t="n">
        <v>46233</v>
      </c>
      <c r="F61" t="inlineStr">
        <is>
          <t>JÖNKÖPINGS LÄN</t>
        </is>
      </c>
      <c r="G61" t="inlineStr">
        <is>
          <t>VAGGERYD</t>
        </is>
      </c>
      <c r="H61" t="inlineStr">
        <is>
          <t>Sveaskog</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11596-2022</t>
        </is>
      </c>
      <c r="B62" t="inlineStr">
        <is>
          <t>avverkningsanmälan</t>
        </is>
      </c>
      <c r="C62" t="inlineStr">
        <is>
          <t>Föryngringsavverkning</t>
        </is>
      </c>
      <c r="D62" s="1" t="n">
        <v>44631</v>
      </c>
      <c r="E62" s="1" t="n">
        <v>46233</v>
      </c>
      <c r="F62" t="inlineStr">
        <is>
          <t>JÖNKÖPINGS LÄN</t>
        </is>
      </c>
      <c r="G62" t="inlineStr">
        <is>
          <t>VAGGERYD</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11637-2022</t>
        </is>
      </c>
      <c r="B63" t="inlineStr">
        <is>
          <t>avverkningsanmälan</t>
        </is>
      </c>
      <c r="C63" t="inlineStr">
        <is>
          <t>Föryngringsavverkning</t>
        </is>
      </c>
      <c r="D63" s="1" t="n">
        <v>44631</v>
      </c>
      <c r="E63" s="1" t="n">
        <v>46233</v>
      </c>
      <c r="F63" t="inlineStr">
        <is>
          <t>JÖNKÖPINGS LÄN</t>
        </is>
      </c>
      <c r="G63" t="inlineStr">
        <is>
          <t>VAGGERYD</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67908-2021</t>
        </is>
      </c>
      <c r="B64" t="inlineStr">
        <is>
          <t>avverkningsanmälan</t>
        </is>
      </c>
      <c r="C64" t="inlineStr">
        <is>
          <t>Föryngringsavverkning</t>
        </is>
      </c>
      <c r="D64" s="1" t="n">
        <v>44525</v>
      </c>
      <c r="E64" s="1" t="n">
        <v>46233</v>
      </c>
      <c r="F64" t="inlineStr">
        <is>
          <t>JÖNKÖPINGS LÄN</t>
        </is>
      </c>
      <c r="G64" t="inlineStr">
        <is>
          <t>VAGGERYD</t>
        </is>
      </c>
      <c r="H64" t="inlineStr">
        <is>
          <t>Sveaskog</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52899-2021</t>
        </is>
      </c>
      <c r="B65" t="inlineStr">
        <is>
          <t>avverkningsanmälan</t>
        </is>
      </c>
      <c r="C65" t="inlineStr">
        <is>
          <t>Föryngringsavverkning</t>
        </is>
      </c>
      <c r="D65" s="1" t="n">
        <v>44467</v>
      </c>
      <c r="E65" s="1" t="n">
        <v>46233</v>
      </c>
      <c r="F65" t="inlineStr">
        <is>
          <t>JÖNKÖPINGS LÄN</t>
        </is>
      </c>
      <c r="G65" t="inlineStr">
        <is>
          <t>VAGGERYD</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70446-2021</t>
        </is>
      </c>
      <c r="B66" t="inlineStr">
        <is>
          <t>avverkningsanmälan</t>
        </is>
      </c>
      <c r="C66" t="inlineStr">
        <is>
          <t>Föryngringsavverkning</t>
        </is>
      </c>
      <c r="D66" s="1" t="n">
        <v>44536</v>
      </c>
      <c r="E66" s="1" t="n">
        <v>46233</v>
      </c>
      <c r="F66" t="inlineStr">
        <is>
          <t>JÖNKÖPINGS LÄN</t>
        </is>
      </c>
      <c r="G66" t="inlineStr">
        <is>
          <t>VAGGERYD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38946-2022</t>
        </is>
      </c>
      <c r="B67" t="inlineStr">
        <is>
          <t>avverkningsanmälan</t>
        </is>
      </c>
      <c r="C67" t="inlineStr">
        <is>
          <t>Föryngringsavverkning</t>
        </is>
      </c>
      <c r="D67" s="1" t="n">
        <v>44816</v>
      </c>
      <c r="E67" s="1" t="n">
        <v>46233</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73108-2021</t>
        </is>
      </c>
      <c r="B68" t="inlineStr">
        <is>
          <t>avverkningsanmälan</t>
        </is>
      </c>
      <c r="C68" t="inlineStr">
        <is>
          <t>Avverkning för att bevara och utveckla /försöksver</t>
        </is>
      </c>
      <c r="D68" s="1" t="n">
        <v>44550</v>
      </c>
      <c r="E68" s="1" t="n">
        <v>46233</v>
      </c>
      <c r="F68" t="inlineStr">
        <is>
          <t>JÖNKÖPINGS LÄN</t>
        </is>
      </c>
      <c r="G68" t="inlineStr">
        <is>
          <t>VAGGERYD</t>
        </is>
      </c>
      <c r="H68" t="inlineStr">
        <is>
          <t>Sveaskog</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50014-2022</t>
        </is>
      </c>
      <c r="B69" t="inlineStr">
        <is>
          <t>avverkningsanmälan</t>
        </is>
      </c>
      <c r="C69" t="inlineStr">
        <is>
          <t>Föryngringsavverkning</t>
        </is>
      </c>
      <c r="D69" s="1" t="n">
        <v>44865</v>
      </c>
      <c r="E69" s="1" t="n">
        <v>46233</v>
      </c>
      <c r="F69" t="inlineStr">
        <is>
          <t>JÖNKÖPINGS LÄN</t>
        </is>
      </c>
      <c r="G69" t="inlineStr">
        <is>
          <t>VAGGERYD</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53570-2022</t>
        </is>
      </c>
      <c r="B70" t="inlineStr">
        <is>
          <t>avverkningsanmälan</t>
        </is>
      </c>
      <c r="C70" t="inlineStr">
        <is>
          <t>Föryngringsavverkning</t>
        </is>
      </c>
      <c r="D70" s="1" t="n">
        <v>44879</v>
      </c>
      <c r="E70" s="1" t="n">
        <v>46233</v>
      </c>
      <c r="F70" t="inlineStr">
        <is>
          <t>JÖNKÖPINGS LÄN</t>
        </is>
      </c>
      <c r="G70" t="inlineStr">
        <is>
          <t>VAGGERYD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17672-2022</t>
        </is>
      </c>
      <c r="B71" t="inlineStr">
        <is>
          <t>avverkningsanmälan</t>
        </is>
      </c>
      <c r="C71" t="inlineStr">
        <is>
          <t>Föryngringsavverkning</t>
        </is>
      </c>
      <c r="D71" s="1" t="n">
        <v>44680</v>
      </c>
      <c r="E71" s="1" t="n">
        <v>46233</v>
      </c>
      <c r="F71" t="inlineStr">
        <is>
          <t>JÖNKÖPINGS LÄN</t>
        </is>
      </c>
      <c r="G71" t="inlineStr">
        <is>
          <t>VAGGERYD</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64065-2021</t>
        </is>
      </c>
      <c r="B72" t="inlineStr">
        <is>
          <t>avverkningsanmälan</t>
        </is>
      </c>
      <c r="C72" t="inlineStr">
        <is>
          <t>Föryngringsavverkning</t>
        </is>
      </c>
      <c r="D72" s="1" t="n">
        <v>44510</v>
      </c>
      <c r="E72" s="1" t="n">
        <v>46233</v>
      </c>
      <c r="F72" t="inlineStr">
        <is>
          <t>JÖNKÖPINGS LÄN</t>
        </is>
      </c>
      <c r="G72" t="inlineStr">
        <is>
          <t>VAGGERYD</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64069-2021</t>
        </is>
      </c>
      <c r="B73" t="inlineStr">
        <is>
          <t>avverkningsanmälan</t>
        </is>
      </c>
      <c r="C73" t="inlineStr">
        <is>
          <t>Föryngringsavverkning</t>
        </is>
      </c>
      <c r="D73" s="1" t="n">
        <v>44510</v>
      </c>
      <c r="E73" s="1" t="n">
        <v>46233</v>
      </c>
      <c r="F73" t="inlineStr">
        <is>
          <t>JÖNKÖPINGS LÄN</t>
        </is>
      </c>
      <c r="G73" t="inlineStr">
        <is>
          <t>VAGGERYD</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2322-2022</t>
        </is>
      </c>
      <c r="B74" t="inlineStr">
        <is>
          <t>avverkningsanmälan</t>
        </is>
      </c>
      <c r="C74" t="inlineStr">
        <is>
          <t>Föryngringsavverkning</t>
        </is>
      </c>
      <c r="D74" s="1" t="n">
        <v>44578</v>
      </c>
      <c r="E74" s="1" t="n">
        <v>46233</v>
      </c>
      <c r="F74" t="inlineStr">
        <is>
          <t>JÖNKÖPINGS LÄN</t>
        </is>
      </c>
      <c r="G74" t="inlineStr">
        <is>
          <t>VAGGERYD</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13675-2022</t>
        </is>
      </c>
      <c r="B75" t="inlineStr">
        <is>
          <t>avverkningsanmälan</t>
        </is>
      </c>
      <c r="C75" t="inlineStr">
        <is>
          <t>Föryngringsavverkning</t>
        </is>
      </c>
      <c r="D75" s="1" t="n">
        <v>44648</v>
      </c>
      <c r="E75" s="1" t="n">
        <v>46233</v>
      </c>
      <c r="F75" t="inlineStr">
        <is>
          <t>JÖNKÖPINGS LÄN</t>
        </is>
      </c>
      <c r="G75" t="inlineStr">
        <is>
          <t>VAGGERYD</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36138-2022</t>
        </is>
      </c>
      <c r="B76" t="inlineStr">
        <is>
          <t>avverkningsanmälan</t>
        </is>
      </c>
      <c r="C76" t="inlineStr">
        <is>
          <t>Föryngringsavverkning</t>
        </is>
      </c>
      <c r="D76" s="1" t="n">
        <v>44803</v>
      </c>
      <c r="E76" s="1" t="n">
        <v>46233</v>
      </c>
      <c r="F76" t="inlineStr">
        <is>
          <t>JÖNKÖPINGS LÄN</t>
        </is>
      </c>
      <c r="G76" t="inlineStr">
        <is>
          <t>VAGGERYD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48777-2021</t>
        </is>
      </c>
      <c r="B77" t="inlineStr">
        <is>
          <t>avverkningsanmälan</t>
        </is>
      </c>
      <c r="C77" t="inlineStr">
        <is>
          <t>Föryngringsavverkning</t>
        </is>
      </c>
      <c r="D77" s="1" t="n">
        <v>44452</v>
      </c>
      <c r="E77" s="1" t="n">
        <v>46233</v>
      </c>
      <c r="F77" t="inlineStr">
        <is>
          <t>JÖNKÖPINGS LÄN</t>
        </is>
      </c>
      <c r="G77" t="inlineStr">
        <is>
          <t>VAGGERYD</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53697-2022</t>
        </is>
      </c>
      <c r="B78" t="inlineStr">
        <is>
          <t>avverkningsanmälan</t>
        </is>
      </c>
      <c r="C78" t="inlineStr">
        <is>
          <t>Föryngringsavverkning</t>
        </is>
      </c>
      <c r="D78" s="1" t="n">
        <v>44880</v>
      </c>
      <c r="E78" s="1" t="n">
        <v>46233</v>
      </c>
      <c r="F78" t="inlineStr">
        <is>
          <t>JÖNKÖPINGS LÄN</t>
        </is>
      </c>
      <c r="G78" t="inlineStr">
        <is>
          <t>VAGGERYD</t>
        </is>
      </c>
      <c r="I78" t="n">
        <v>4</v>
      </c>
      <c r="J78" t="n">
        <v>0</v>
      </c>
      <c r="K78" t="n">
        <v>0</v>
      </c>
      <c r="L78" t="n">
        <v>0</v>
      </c>
      <c r="M78" t="n">
        <v>0</v>
      </c>
      <c r="N78" t="n">
        <v>0</v>
      </c>
      <c r="O78" t="n">
        <v>0</v>
      </c>
      <c r="P78" t="n">
        <v>0</v>
      </c>
      <c r="Q78" t="n">
        <v>0</v>
      </c>
      <c r="R78" t="n">
        <v>0</v>
      </c>
      <c r="S78" t="n">
        <v>0</v>
      </c>
      <c r="T78" t="n">
        <v>0</v>
      </c>
      <c r="U78" t="n">
        <v>0</v>
      </c>
      <c r="V78" s="2" t="inlineStr"/>
    </row>
    <row r="79" ht="15" customHeight="1">
      <c r="A79" t="inlineStr">
        <is>
          <t>A 53697-2021</t>
        </is>
      </c>
      <c r="B79" t="inlineStr">
        <is>
          <t>avverkningsanmälan</t>
        </is>
      </c>
      <c r="C79" t="inlineStr">
        <is>
          <t>Avverkning för annat ändamål</t>
        </is>
      </c>
      <c r="D79" s="1" t="n">
        <v>44469</v>
      </c>
      <c r="E79" s="1" t="n">
        <v>46233</v>
      </c>
      <c r="F79" t="inlineStr">
        <is>
          <t>JÖNKÖPINGS LÄN</t>
        </is>
      </c>
      <c r="G79" t="inlineStr">
        <is>
          <t>VAGGERYD</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49152-2021</t>
        </is>
      </c>
      <c r="B80" t="inlineStr">
        <is>
          <t>avverkningsanmälan</t>
        </is>
      </c>
      <c r="C80" t="inlineStr">
        <is>
          <t>Föryngringsavverkning</t>
        </is>
      </c>
      <c r="D80" s="1" t="n">
        <v>44453</v>
      </c>
      <c r="E80" s="1" t="n">
        <v>46233</v>
      </c>
      <c r="F80" t="inlineStr">
        <is>
          <t>JÖNKÖPINGS LÄN</t>
        </is>
      </c>
      <c r="G80" t="inlineStr">
        <is>
          <t>VAGGERYD</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49133-2021</t>
        </is>
      </c>
      <c r="B81" t="inlineStr">
        <is>
          <t>avverkningsanmälan</t>
        </is>
      </c>
      <c r="C81" t="inlineStr">
        <is>
          <t>Föryngringsavverkning</t>
        </is>
      </c>
      <c r="D81" s="1" t="n">
        <v>44453</v>
      </c>
      <c r="E81" s="1" t="n">
        <v>46233</v>
      </c>
      <c r="F81" t="inlineStr">
        <is>
          <t>JÖNKÖPINGS LÄN</t>
        </is>
      </c>
      <c r="G81" t="inlineStr">
        <is>
          <t>VAGGERYD</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49130-2021</t>
        </is>
      </c>
      <c r="B82" t="inlineStr">
        <is>
          <t>avverkningsanmälan</t>
        </is>
      </c>
      <c r="C82" t="inlineStr">
        <is>
          <t>Föryngringsavverkning</t>
        </is>
      </c>
      <c r="D82" s="1" t="n">
        <v>44453</v>
      </c>
      <c r="E82" s="1" t="n">
        <v>46233</v>
      </c>
      <c r="F82" t="inlineStr">
        <is>
          <t>JÖNKÖPINGS LÄN</t>
        </is>
      </c>
      <c r="G82" t="inlineStr">
        <is>
          <t>VAGGERYD</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49131-2021</t>
        </is>
      </c>
      <c r="B83" t="inlineStr">
        <is>
          <t>avverkningsanmälan</t>
        </is>
      </c>
      <c r="C83" t="inlineStr">
        <is>
          <t>Föryngringsavverkning</t>
        </is>
      </c>
      <c r="D83" s="1" t="n">
        <v>44453</v>
      </c>
      <c r="E83" s="1" t="n">
        <v>46233</v>
      </c>
      <c r="F83" t="inlineStr">
        <is>
          <t>JÖNKÖPINGS LÄN</t>
        </is>
      </c>
      <c r="G83" t="inlineStr">
        <is>
          <t>VAGGERYD</t>
        </is>
      </c>
      <c r="I83" t="n">
        <v>4</v>
      </c>
      <c r="J83" t="n">
        <v>0</v>
      </c>
      <c r="K83" t="n">
        <v>0</v>
      </c>
      <c r="L83" t="n">
        <v>0</v>
      </c>
      <c r="M83" t="n">
        <v>0</v>
      </c>
      <c r="N83" t="n">
        <v>0</v>
      </c>
      <c r="O83" t="n">
        <v>0</v>
      </c>
      <c r="P83" t="n">
        <v>0</v>
      </c>
      <c r="Q83" t="n">
        <v>0</v>
      </c>
      <c r="R83" t="n">
        <v>0</v>
      </c>
      <c r="S83" t="n">
        <v>0</v>
      </c>
      <c r="T83" t="n">
        <v>0</v>
      </c>
      <c r="U83" t="n">
        <v>0</v>
      </c>
      <c r="V83" s="2" t="inlineStr"/>
    </row>
    <row r="84" ht="15" customHeight="1">
      <c r="A84" t="inlineStr">
        <is>
          <t>A 59040-2021</t>
        </is>
      </c>
      <c r="B84" t="inlineStr">
        <is>
          <t>avverkningsanmälan</t>
        </is>
      </c>
      <c r="C84" t="inlineStr">
        <is>
          <t>Föryngringsavverkning</t>
        </is>
      </c>
      <c r="D84" s="1" t="n">
        <v>44490</v>
      </c>
      <c r="E84" s="1" t="n">
        <v>46233</v>
      </c>
      <c r="F84" t="inlineStr">
        <is>
          <t>JÖNKÖPINGS LÄN</t>
        </is>
      </c>
      <c r="G84" t="inlineStr">
        <is>
          <t>VAGGERYD</t>
        </is>
      </c>
      <c r="H84" t="inlineStr">
        <is>
          <t>Sveaskog</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70240-2021</t>
        </is>
      </c>
      <c r="B85" t="inlineStr">
        <is>
          <t>avverkningsanmälan</t>
        </is>
      </c>
      <c r="C85" t="inlineStr">
        <is>
          <t>Föryngringsavverkning</t>
        </is>
      </c>
      <c r="D85" s="1" t="n">
        <v>44536</v>
      </c>
      <c r="E85" s="1" t="n">
        <v>46233</v>
      </c>
      <c r="F85" t="inlineStr">
        <is>
          <t>JÖNKÖPINGS LÄN</t>
        </is>
      </c>
      <c r="G85" t="inlineStr">
        <is>
          <t>VAGGERYD</t>
        </is>
      </c>
      <c r="H85" t="inlineStr">
        <is>
          <t>Sveaskog</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35450-2022</t>
        </is>
      </c>
      <c r="B86" t="inlineStr">
        <is>
          <t>avverkningsanmälan</t>
        </is>
      </c>
      <c r="C86" t="inlineStr">
        <is>
          <t>Föryngringsavverkning</t>
        </is>
      </c>
      <c r="D86" s="1" t="n">
        <v>44798</v>
      </c>
      <c r="E86" s="1" t="n">
        <v>46233</v>
      </c>
      <c r="F86" t="inlineStr">
        <is>
          <t>JÖNKÖPINGS LÄN</t>
        </is>
      </c>
      <c r="G86" t="inlineStr">
        <is>
          <t>VAGGERYD</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20056-2024</t>
        </is>
      </c>
      <c r="B87" t="inlineStr">
        <is>
          <t>avverkningsanmälan</t>
        </is>
      </c>
      <c r="C87" t="inlineStr">
        <is>
          <t>Föryngringsavverkning</t>
        </is>
      </c>
      <c r="D87" s="1" t="n">
        <v>45434</v>
      </c>
      <c r="E87" s="1" t="n">
        <v>46233</v>
      </c>
      <c r="F87" t="inlineStr">
        <is>
          <t>JÖNKÖPINGS LÄN</t>
        </is>
      </c>
      <c r="G87" t="inlineStr">
        <is>
          <t>VAGGERYD</t>
        </is>
      </c>
      <c r="H87" t="inlineStr">
        <is>
          <t>Sveaskog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11103-2024</t>
        </is>
      </c>
      <c r="B88" t="inlineStr">
        <is>
          <t>avverkningsanmälan</t>
        </is>
      </c>
      <c r="C88" t="inlineStr">
        <is>
          <t>Avverkning för annat ändamål</t>
        </is>
      </c>
      <c r="D88" s="1" t="n">
        <v>45371</v>
      </c>
      <c r="E88" s="1" t="n">
        <v>46233</v>
      </c>
      <c r="F88" t="inlineStr">
        <is>
          <t>JÖNKÖPINGS LÄN</t>
        </is>
      </c>
      <c r="G88" t="inlineStr">
        <is>
          <t>VAGGERYD</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11105-2024</t>
        </is>
      </c>
      <c r="B89" t="inlineStr">
        <is>
          <t>avverkningsanmälan</t>
        </is>
      </c>
      <c r="C89" t="inlineStr">
        <is>
          <t>Föryngringsavverkning</t>
        </is>
      </c>
      <c r="D89" s="1" t="n">
        <v>45371</v>
      </c>
      <c r="E89" s="1" t="n">
        <v>46233</v>
      </c>
      <c r="F89" t="inlineStr">
        <is>
          <t>JÖNKÖPINGS LÄN</t>
        </is>
      </c>
      <c r="G89" t="inlineStr">
        <is>
          <t>VAGGERYD</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58928-2023</t>
        </is>
      </c>
      <c r="B90" t="inlineStr">
        <is>
          <t>avverkningsanmälan</t>
        </is>
      </c>
      <c r="C90" t="inlineStr">
        <is>
          <t>Föryngringsavverkning</t>
        </is>
      </c>
      <c r="D90" s="1" t="n">
        <v>45252</v>
      </c>
      <c r="E90" s="1" t="n">
        <v>46233</v>
      </c>
      <c r="F90" t="inlineStr">
        <is>
          <t>JÖNKÖPINGS LÄN</t>
        </is>
      </c>
      <c r="G90" t="inlineStr">
        <is>
          <t>VAGGERYD</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15946-2025</t>
        </is>
      </c>
      <c r="B91" t="inlineStr">
        <is>
          <t>avverkningsanmälan</t>
        </is>
      </c>
      <c r="C91" t="inlineStr">
        <is>
          <t>Föryngringsavverkning</t>
        </is>
      </c>
      <c r="D91" s="1" t="n">
        <v>45749</v>
      </c>
      <c r="E91" s="1" t="n">
        <v>46233</v>
      </c>
      <c r="F91" t="inlineStr">
        <is>
          <t>JÖNKÖPINGS LÄN</t>
        </is>
      </c>
      <c r="G91" t="inlineStr">
        <is>
          <t>VAGGERYD</t>
        </is>
      </c>
      <c r="H91" t="inlineStr">
        <is>
          <t>Sveaskog</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766-2024</t>
        </is>
      </c>
      <c r="B92" t="inlineStr">
        <is>
          <t>avverkningsanmälan</t>
        </is>
      </c>
      <c r="C92" t="inlineStr">
        <is>
          <t>Föryngringsavverkning</t>
        </is>
      </c>
      <c r="D92" s="1" t="n">
        <v>45300</v>
      </c>
      <c r="E92" s="1" t="n">
        <v>46233</v>
      </c>
      <c r="F92" t="inlineStr">
        <is>
          <t>JÖNKÖPINGS LÄN</t>
        </is>
      </c>
      <c r="G92" t="inlineStr">
        <is>
          <t>VAGGERYD</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21410-2024</t>
        </is>
      </c>
      <c r="B93" t="inlineStr">
        <is>
          <t>avverkningsanmälan</t>
        </is>
      </c>
      <c r="C93" t="inlineStr">
        <is>
          <t>Föryngringsavverkning</t>
        </is>
      </c>
      <c r="D93" s="1" t="n">
        <v>45441</v>
      </c>
      <c r="E93" s="1" t="n">
        <v>46233</v>
      </c>
      <c r="F93" t="inlineStr">
        <is>
          <t>JÖNKÖPINGS LÄN</t>
        </is>
      </c>
      <c r="G93" t="inlineStr">
        <is>
          <t>VAGGERYD</t>
        </is>
      </c>
      <c r="I93" t="n">
        <v>9.5</v>
      </c>
      <c r="J93" t="n">
        <v>0</v>
      </c>
      <c r="K93" t="n">
        <v>0</v>
      </c>
      <c r="L93" t="n">
        <v>0</v>
      </c>
      <c r="M93" t="n">
        <v>0</v>
      </c>
      <c r="N93" t="n">
        <v>0</v>
      </c>
      <c r="O93" t="n">
        <v>0</v>
      </c>
      <c r="P93" t="n">
        <v>0</v>
      </c>
      <c r="Q93" t="n">
        <v>0</v>
      </c>
      <c r="R93" t="n">
        <v>0</v>
      </c>
      <c r="S93" t="n">
        <v>0</v>
      </c>
      <c r="T93" t="n">
        <v>0</v>
      </c>
      <c r="U93" t="n">
        <v>0</v>
      </c>
      <c r="V93" s="2" t="inlineStr"/>
    </row>
    <row r="94" ht="15" customHeight="1">
      <c r="A94" t="inlineStr">
        <is>
          <t>A 60302-2022</t>
        </is>
      </c>
      <c r="B94" t="inlineStr">
        <is>
          <t>avverkningsanmälan</t>
        </is>
      </c>
      <c r="C94" t="inlineStr">
        <is>
          <t>Avverkning för att bevara och utveckla /försöksver</t>
        </is>
      </c>
      <c r="D94" s="1" t="n">
        <v>44910</v>
      </c>
      <c r="E94" s="1" t="n">
        <v>46233</v>
      </c>
      <c r="F94" t="inlineStr">
        <is>
          <t>JÖNKÖPINGS LÄN</t>
        </is>
      </c>
      <c r="G94" t="inlineStr">
        <is>
          <t>VAGGERYD</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40532-2021</t>
        </is>
      </c>
      <c r="B95" t="inlineStr">
        <is>
          <t>avverkningsanmälan</t>
        </is>
      </c>
      <c r="C95" t="inlineStr">
        <is>
          <t>Föryngringsavverkning</t>
        </is>
      </c>
      <c r="D95" s="1" t="n">
        <v>44420</v>
      </c>
      <c r="E95" s="1" t="n">
        <v>46233</v>
      </c>
      <c r="F95" t="inlineStr">
        <is>
          <t>JÖNKÖPINGS LÄN</t>
        </is>
      </c>
      <c r="G95" t="inlineStr">
        <is>
          <t>VAGGERYD</t>
        </is>
      </c>
      <c r="I95" t="n">
        <v>6.2</v>
      </c>
      <c r="J95" t="n">
        <v>0</v>
      </c>
      <c r="K95" t="n">
        <v>0</v>
      </c>
      <c r="L95" t="n">
        <v>0</v>
      </c>
      <c r="M95" t="n">
        <v>0</v>
      </c>
      <c r="N95" t="n">
        <v>0</v>
      </c>
      <c r="O95" t="n">
        <v>0</v>
      </c>
      <c r="P95" t="n">
        <v>0</v>
      </c>
      <c r="Q95" t="n">
        <v>0</v>
      </c>
      <c r="R95" t="n">
        <v>0</v>
      </c>
      <c r="S95" t="n">
        <v>0</v>
      </c>
      <c r="T95" t="n">
        <v>0</v>
      </c>
      <c r="U95" t="n">
        <v>0</v>
      </c>
      <c r="V95" s="2" t="inlineStr"/>
    </row>
    <row r="96" ht="15" customHeight="1">
      <c r="A96" t="inlineStr">
        <is>
          <t>A 71173-2021</t>
        </is>
      </c>
      <c r="B96" t="inlineStr">
        <is>
          <t>avverkningsanmälan</t>
        </is>
      </c>
      <c r="C96" t="inlineStr">
        <is>
          <t>Föryngringsavverkning</t>
        </is>
      </c>
      <c r="D96" s="1" t="n">
        <v>44539</v>
      </c>
      <c r="E96" s="1" t="n">
        <v>46233</v>
      </c>
      <c r="F96" t="inlineStr">
        <is>
          <t>JÖNKÖPINGS LÄN</t>
        </is>
      </c>
      <c r="G96" t="inlineStr">
        <is>
          <t>VAGGERYD</t>
        </is>
      </c>
      <c r="H96" t="inlineStr">
        <is>
          <t>Sveaskog</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71182-2021</t>
        </is>
      </c>
      <c r="B97" t="inlineStr">
        <is>
          <t>avverkningsanmälan</t>
        </is>
      </c>
      <c r="C97" t="inlineStr">
        <is>
          <t>Föryngringsavverkning</t>
        </is>
      </c>
      <c r="D97" s="1" t="n">
        <v>44539</v>
      </c>
      <c r="E97" s="1" t="n">
        <v>46233</v>
      </c>
      <c r="F97" t="inlineStr">
        <is>
          <t>JÖNKÖPINGS LÄN</t>
        </is>
      </c>
      <c r="G97" t="inlineStr">
        <is>
          <t>VAGGERYD</t>
        </is>
      </c>
      <c r="H97" t="inlineStr">
        <is>
          <t>Sveaskog</t>
        </is>
      </c>
      <c r="I97" t="n">
        <v>4.2</v>
      </c>
      <c r="J97" t="n">
        <v>0</v>
      </c>
      <c r="K97" t="n">
        <v>0</v>
      </c>
      <c r="L97" t="n">
        <v>0</v>
      </c>
      <c r="M97" t="n">
        <v>0</v>
      </c>
      <c r="N97" t="n">
        <v>0</v>
      </c>
      <c r="O97" t="n">
        <v>0</v>
      </c>
      <c r="P97" t="n">
        <v>0</v>
      </c>
      <c r="Q97" t="n">
        <v>0</v>
      </c>
      <c r="R97" t="n">
        <v>0</v>
      </c>
      <c r="S97" t="n">
        <v>0</v>
      </c>
      <c r="T97" t="n">
        <v>0</v>
      </c>
      <c r="U97" t="n">
        <v>0</v>
      </c>
      <c r="V97" s="2" t="inlineStr"/>
    </row>
    <row r="98" ht="15" customHeight="1">
      <c r="A98" t="inlineStr">
        <is>
          <t>A 25625-2024</t>
        </is>
      </c>
      <c r="B98" t="inlineStr">
        <is>
          <t>avverkningsanmälan</t>
        </is>
      </c>
      <c r="C98" t="inlineStr">
        <is>
          <t>Föryngringsavverkning</t>
        </is>
      </c>
      <c r="D98" s="1" t="n">
        <v>45463</v>
      </c>
      <c r="E98" s="1" t="n">
        <v>46233</v>
      </c>
      <c r="F98" t="inlineStr">
        <is>
          <t>JÖNKÖPINGS LÄN</t>
        </is>
      </c>
      <c r="G98" t="inlineStr">
        <is>
          <t>VAGGERYD</t>
        </is>
      </c>
      <c r="H98" t="inlineStr">
        <is>
          <t>Sveaskog</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47873-2021</t>
        </is>
      </c>
      <c r="B99" t="inlineStr">
        <is>
          <t>avverkningsanmälan</t>
        </is>
      </c>
      <c r="C99" t="inlineStr">
        <is>
          <t>Föryngringsavverkning</t>
        </is>
      </c>
      <c r="D99" s="1" t="n">
        <v>44448</v>
      </c>
      <c r="E99" s="1" t="n">
        <v>46233</v>
      </c>
      <c r="F99" t="inlineStr">
        <is>
          <t>JÖNKÖPINGS LÄN</t>
        </is>
      </c>
      <c r="G99" t="inlineStr">
        <is>
          <t>VAGGERYD</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58756-2022</t>
        </is>
      </c>
      <c r="B100" t="inlineStr">
        <is>
          <t>avverkningsanmälan</t>
        </is>
      </c>
      <c r="C100" t="inlineStr">
        <is>
          <t>Föryngringsavverkning</t>
        </is>
      </c>
      <c r="D100" s="1" t="n">
        <v>44903</v>
      </c>
      <c r="E100" s="1" t="n">
        <v>46233</v>
      </c>
      <c r="F100" t="inlineStr">
        <is>
          <t>JÖNKÖPINGS LÄN</t>
        </is>
      </c>
      <c r="G100" t="inlineStr">
        <is>
          <t>VAGGERYD</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53072-2021</t>
        </is>
      </c>
      <c r="B101" t="inlineStr">
        <is>
          <t>avverkningsanmälan</t>
        </is>
      </c>
      <c r="C101" t="inlineStr">
        <is>
          <t>Föryngringsavverkning</t>
        </is>
      </c>
      <c r="D101" s="1" t="n">
        <v>44467</v>
      </c>
      <c r="E101" s="1" t="n">
        <v>46233</v>
      </c>
      <c r="F101" t="inlineStr">
        <is>
          <t>JÖNKÖPINGS LÄN</t>
        </is>
      </c>
      <c r="G101" t="inlineStr">
        <is>
          <t>VAGGERYD</t>
        </is>
      </c>
      <c r="I101" t="n">
        <v>7.7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63690-2023</t>
        </is>
      </c>
      <c r="B102" t="inlineStr">
        <is>
          <t>avverkningsanmälan</t>
        </is>
      </c>
      <c r="C102" t="inlineStr">
        <is>
          <t>Föryngringsavverkning</t>
        </is>
      </c>
      <c r="D102" s="1" t="n">
        <v>45275</v>
      </c>
      <c r="E102" s="1" t="n">
        <v>46233</v>
      </c>
      <c r="F102" t="inlineStr">
        <is>
          <t>JÖNKÖPINGS LÄN</t>
        </is>
      </c>
      <c r="G102" t="inlineStr">
        <is>
          <t>VAGGERYD</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6846-2024</t>
        </is>
      </c>
      <c r="B103" t="inlineStr">
        <is>
          <t>avverkningsanmälan</t>
        </is>
      </c>
      <c r="C103" t="inlineStr">
        <is>
          <t>Föryngringsavverkning</t>
        </is>
      </c>
      <c r="D103" s="1" t="n">
        <v>45342</v>
      </c>
      <c r="E103" s="1" t="n">
        <v>46233</v>
      </c>
      <c r="F103" t="inlineStr">
        <is>
          <t>JÖNKÖPINGS LÄN</t>
        </is>
      </c>
      <c r="G103" t="inlineStr">
        <is>
          <t>VAGGERYD</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71512-2021</t>
        </is>
      </c>
      <c r="B104" t="inlineStr">
        <is>
          <t>avverkningsanmälan</t>
        </is>
      </c>
      <c r="C104" t="inlineStr">
        <is>
          <t>Föryngringsavverkning</t>
        </is>
      </c>
      <c r="D104" s="1" t="n">
        <v>44540</v>
      </c>
      <c r="E104" s="1" t="n">
        <v>46233</v>
      </c>
      <c r="F104" t="inlineStr">
        <is>
          <t>JÖNKÖPINGS LÄN</t>
        </is>
      </c>
      <c r="G104" t="inlineStr">
        <is>
          <t>VAGGERYD</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58836-2022</t>
        </is>
      </c>
      <c r="B105" t="inlineStr">
        <is>
          <t>avverkningsanmälan</t>
        </is>
      </c>
      <c r="C105" t="inlineStr">
        <is>
          <t>Föryngringsavverkning</t>
        </is>
      </c>
      <c r="D105" s="1" t="n">
        <v>44903</v>
      </c>
      <c r="E105" s="1" t="n">
        <v>46233</v>
      </c>
      <c r="F105" t="inlineStr">
        <is>
          <t>JÖNKÖPINGS LÄN</t>
        </is>
      </c>
      <c r="G105" t="inlineStr">
        <is>
          <t>VAGGERYD</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9065-2023</t>
        </is>
      </c>
      <c r="B106" t="inlineStr">
        <is>
          <t>avverkningsanmälan</t>
        </is>
      </c>
      <c r="C106" t="inlineStr">
        <is>
          <t>Föryngringsavverkning</t>
        </is>
      </c>
      <c r="D106" s="1" t="n">
        <v>44979</v>
      </c>
      <c r="E106" s="1" t="n">
        <v>46233</v>
      </c>
      <c r="F106" t="inlineStr">
        <is>
          <t>JÖNKÖPINGS LÄN</t>
        </is>
      </c>
      <c r="G106" t="inlineStr">
        <is>
          <t>VAGGERYD</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47192-2024</t>
        </is>
      </c>
      <c r="B107" t="inlineStr">
        <is>
          <t>avverkningsanmälan</t>
        </is>
      </c>
      <c r="C107" t="inlineStr">
        <is>
          <t>Föryngringsavverkning</t>
        </is>
      </c>
      <c r="D107" s="1" t="n">
        <v>45586</v>
      </c>
      <c r="E107" s="1" t="n">
        <v>46233</v>
      </c>
      <c r="F107" t="inlineStr">
        <is>
          <t>JÖNKÖPINGS LÄN</t>
        </is>
      </c>
      <c r="G107" t="inlineStr">
        <is>
          <t>VAGGERYD</t>
        </is>
      </c>
      <c r="H107" t="inlineStr">
        <is>
          <t>Sveaskog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6637-2023</t>
        </is>
      </c>
      <c r="B108" t="inlineStr">
        <is>
          <t>avverkningsanmälan</t>
        </is>
      </c>
      <c r="C108" t="inlineStr">
        <is>
          <t>Föryngringsavverkning</t>
        </is>
      </c>
      <c r="D108" s="1" t="n">
        <v>44966</v>
      </c>
      <c r="E108" s="1" t="n">
        <v>46233</v>
      </c>
      <c r="F108" t="inlineStr">
        <is>
          <t>JÖNKÖPINGS LÄN</t>
        </is>
      </c>
      <c r="G108" t="inlineStr">
        <is>
          <t>VAGGERYD</t>
        </is>
      </c>
      <c r="H108" t="inlineStr">
        <is>
          <t>Sveaskog</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57245-2022</t>
        </is>
      </c>
      <c r="B109" t="inlineStr">
        <is>
          <t>avverkningsanmälan</t>
        </is>
      </c>
      <c r="C109" t="inlineStr">
        <is>
          <t>Avverkning för annat ändamål</t>
        </is>
      </c>
      <c r="D109" s="1" t="n">
        <v>44895</v>
      </c>
      <c r="E109" s="1" t="n">
        <v>46233</v>
      </c>
      <c r="F109" t="inlineStr">
        <is>
          <t>JÖNKÖPINGS LÄN</t>
        </is>
      </c>
      <c r="G109" t="inlineStr">
        <is>
          <t>VAGGERYD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6641-2023</t>
        </is>
      </c>
      <c r="B110" t="inlineStr">
        <is>
          <t>avverkningsanmälan</t>
        </is>
      </c>
      <c r="C110" t="inlineStr">
        <is>
          <t>Föryngringsavverkning</t>
        </is>
      </c>
      <c r="D110" s="1" t="n">
        <v>44966</v>
      </c>
      <c r="E110" s="1" t="n">
        <v>46233</v>
      </c>
      <c r="F110" t="inlineStr">
        <is>
          <t>JÖNKÖPINGS LÄN</t>
        </is>
      </c>
      <c r="G110" t="inlineStr">
        <is>
          <t>VAGGERYD</t>
        </is>
      </c>
      <c r="H110" t="inlineStr">
        <is>
          <t>Sveaskog</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6644-2023</t>
        </is>
      </c>
      <c r="B111" t="inlineStr">
        <is>
          <t>avverkningsanmälan</t>
        </is>
      </c>
      <c r="C111" t="inlineStr">
        <is>
          <t>Avverkning för att bevara och utveckla /försöksver</t>
        </is>
      </c>
      <c r="D111" s="1" t="n">
        <v>44966</v>
      </c>
      <c r="E111" s="1" t="n">
        <v>46233</v>
      </c>
      <c r="F111" t="inlineStr">
        <is>
          <t>JÖNKÖPINGS LÄN</t>
        </is>
      </c>
      <c r="G111" t="inlineStr">
        <is>
          <t>VAGGERYD</t>
        </is>
      </c>
      <c r="H111" t="inlineStr">
        <is>
          <t>Sveaskog</t>
        </is>
      </c>
      <c r="I111" t="n">
        <v>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58593-2024</t>
        </is>
      </c>
      <c r="B112" t="inlineStr">
        <is>
          <t>avverkningsanmälan</t>
        </is>
      </c>
      <c r="C112" t="inlineStr">
        <is>
          <t>Föryngringsavverkning</t>
        </is>
      </c>
      <c r="D112" s="1" t="n">
        <v>45635</v>
      </c>
      <c r="E112" s="1" t="n">
        <v>46233</v>
      </c>
      <c r="F112" t="inlineStr">
        <is>
          <t>JÖNKÖPINGS LÄN</t>
        </is>
      </c>
      <c r="G112" t="inlineStr">
        <is>
          <t>VAGGERYD</t>
        </is>
      </c>
      <c r="H112" t="inlineStr">
        <is>
          <t>Sveaskog</t>
        </is>
      </c>
      <c r="I112" t="n">
        <v>5.5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58607-2024</t>
        </is>
      </c>
      <c r="B113" t="inlineStr">
        <is>
          <t>avverkningsanmälan</t>
        </is>
      </c>
      <c r="C113" t="inlineStr">
        <is>
          <t>Föryngringsavverkning</t>
        </is>
      </c>
      <c r="D113" s="1" t="n">
        <v>45635</v>
      </c>
      <c r="E113" s="1" t="n">
        <v>46233</v>
      </c>
      <c r="F113" t="inlineStr">
        <is>
          <t>JÖNKÖPINGS LÄN</t>
        </is>
      </c>
      <c r="G113" t="inlineStr">
        <is>
          <t>VAGGERYD</t>
        </is>
      </c>
      <c r="H113" t="inlineStr">
        <is>
          <t>Sveaskog</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58622-2024</t>
        </is>
      </c>
      <c r="B114" t="inlineStr">
        <is>
          <t>avverkningsanmälan</t>
        </is>
      </c>
      <c r="C114" t="inlineStr">
        <is>
          <t>Föryngringsavverkning</t>
        </is>
      </c>
      <c r="D114" s="1" t="n">
        <v>45635</v>
      </c>
      <c r="E114" s="1" t="n">
        <v>46233</v>
      </c>
      <c r="F114" t="inlineStr">
        <is>
          <t>JÖNKÖPINGS LÄN</t>
        </is>
      </c>
      <c r="G114" t="inlineStr">
        <is>
          <t>VAGGERYD</t>
        </is>
      </c>
      <c r="H114" t="inlineStr">
        <is>
          <t>Sveaskog</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15140-2023</t>
        </is>
      </c>
      <c r="B115" t="inlineStr">
        <is>
          <t>avverkningsanmälan</t>
        </is>
      </c>
      <c r="C115" t="inlineStr">
        <is>
          <t>Avverkning för annat ändamål</t>
        </is>
      </c>
      <c r="D115" s="1" t="n">
        <v>45015</v>
      </c>
      <c r="E115" s="1" t="n">
        <v>46233</v>
      </c>
      <c r="F115" t="inlineStr">
        <is>
          <t>JÖNKÖPINGS LÄN</t>
        </is>
      </c>
      <c r="G115" t="inlineStr">
        <is>
          <t>VAGGERYD</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38107-2025</t>
        </is>
      </c>
      <c r="B116" t="inlineStr">
        <is>
          <t>avverkningsanmälan</t>
        </is>
      </c>
      <c r="C116" t="inlineStr">
        <is>
          <t>Föryngringsavverkning</t>
        </is>
      </c>
      <c r="D116" s="1" t="n">
        <v>45882</v>
      </c>
      <c r="E116" s="1" t="n">
        <v>46233</v>
      </c>
      <c r="F116" t="inlineStr">
        <is>
          <t>JÖNKÖPINGS LÄN</t>
        </is>
      </c>
      <c r="G116" t="inlineStr">
        <is>
          <t>VAGGERYD</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10643-2023</t>
        </is>
      </c>
      <c r="B117" t="inlineStr">
        <is>
          <t>avverkningsanmälan</t>
        </is>
      </c>
      <c r="C117" t="inlineStr">
        <is>
          <t>Föryngringsavverkning</t>
        </is>
      </c>
      <c r="D117" s="1" t="n">
        <v>44988</v>
      </c>
      <c r="E117" s="1" t="n">
        <v>46233</v>
      </c>
      <c r="F117" t="inlineStr">
        <is>
          <t>JÖNKÖPINGS LÄN</t>
        </is>
      </c>
      <c r="G117" t="inlineStr">
        <is>
          <t>VAGGERYD</t>
        </is>
      </c>
      <c r="I117" t="n">
        <v>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26874-2025</t>
        </is>
      </c>
      <c r="B118" t="inlineStr">
        <is>
          <t>avverkningsanmälan</t>
        </is>
      </c>
      <c r="C118" t="inlineStr">
        <is>
          <t>Föryngringsavverkning</t>
        </is>
      </c>
      <c r="D118" s="1" t="n">
        <v>45810</v>
      </c>
      <c r="E118" s="1" t="n">
        <v>46233</v>
      </c>
      <c r="F118" t="inlineStr">
        <is>
          <t>JÖNKÖPINGS LÄN</t>
        </is>
      </c>
      <c r="G118" t="inlineStr">
        <is>
          <t>VAGGERYD</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31017-2024</t>
        </is>
      </c>
      <c r="B119" t="inlineStr">
        <is>
          <t>avverkningsanmälan</t>
        </is>
      </c>
      <c r="C119" t="inlineStr">
        <is>
          <t>Föryngringsavverkning</t>
        </is>
      </c>
      <c r="D119" s="1" t="n">
        <v>45499</v>
      </c>
      <c r="E119" s="1" t="n">
        <v>46233</v>
      </c>
      <c r="F119" t="inlineStr">
        <is>
          <t>JÖNKÖPINGS LÄN</t>
        </is>
      </c>
      <c r="G119" t="inlineStr">
        <is>
          <t>VAGGERYD</t>
        </is>
      </c>
      <c r="H119" t="inlineStr">
        <is>
          <t>Sveaskog</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61903-2024</t>
        </is>
      </c>
      <c r="B120" t="inlineStr">
        <is>
          <t>avverkningsanmälan</t>
        </is>
      </c>
      <c r="C120" t="inlineStr">
        <is>
          <t>Föryngringsavverkning</t>
        </is>
      </c>
      <c r="D120" s="1" t="n">
        <v>45653</v>
      </c>
      <c r="E120" s="1" t="n">
        <v>46233</v>
      </c>
      <c r="F120" t="inlineStr">
        <is>
          <t>JÖNKÖPINGS LÄN</t>
        </is>
      </c>
      <c r="G120" t="inlineStr">
        <is>
          <t>VAGGERYD</t>
        </is>
      </c>
      <c r="I120" t="n">
        <v>6.4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26613-2025</t>
        </is>
      </c>
      <c r="B121" t="inlineStr">
        <is>
          <t>avverkningsanmälan</t>
        </is>
      </c>
      <c r="C121" t="inlineStr">
        <is>
          <t>Föryngringsavverkning</t>
        </is>
      </c>
      <c r="D121" s="1" t="n">
        <v>45810</v>
      </c>
      <c r="E121" s="1" t="n">
        <v>46233</v>
      </c>
      <c r="F121" t="inlineStr">
        <is>
          <t>JÖNKÖPINGS LÄN</t>
        </is>
      </c>
      <c r="G121" t="inlineStr">
        <is>
          <t>VAGGERYD</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27826-2025</t>
        </is>
      </c>
      <c r="B122" t="inlineStr">
        <is>
          <t>avverkningsanmälan</t>
        </is>
      </c>
      <c r="C122" t="inlineStr">
        <is>
          <t>Föryngringsavverkning</t>
        </is>
      </c>
      <c r="D122" s="1" t="n">
        <v>45817</v>
      </c>
      <c r="E122" s="1" t="n">
        <v>46233</v>
      </c>
      <c r="F122" t="inlineStr">
        <is>
          <t>JÖNKÖPINGS LÄN</t>
        </is>
      </c>
      <c r="G122" t="inlineStr">
        <is>
          <t>VAGGERYD</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58876-2021</t>
        </is>
      </c>
      <c r="B123" t="inlineStr">
        <is>
          <t>avverkningsanmälan</t>
        </is>
      </c>
      <c r="C123" t="inlineStr">
        <is>
          <t>Föryngringsavverkning</t>
        </is>
      </c>
      <c r="D123" s="1" t="n">
        <v>44489</v>
      </c>
      <c r="E123" s="1" t="n">
        <v>46233</v>
      </c>
      <c r="F123" t="inlineStr">
        <is>
          <t>JÖNKÖPINGS LÄN</t>
        </is>
      </c>
      <c r="G123" t="inlineStr">
        <is>
          <t>VAGGERYD</t>
        </is>
      </c>
      <c r="I123" t="n">
        <v>7.8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27815-2025</t>
        </is>
      </c>
      <c r="B124" t="inlineStr">
        <is>
          <t>avverkningsanmälan</t>
        </is>
      </c>
      <c r="C124" t="inlineStr">
        <is>
          <t>Föryngringsavverkning</t>
        </is>
      </c>
      <c r="D124" s="1" t="n">
        <v>45817</v>
      </c>
      <c r="E124" s="1" t="n">
        <v>46233</v>
      </c>
      <c r="F124" t="inlineStr">
        <is>
          <t>JÖNKÖPINGS LÄN</t>
        </is>
      </c>
      <c r="G124" t="inlineStr">
        <is>
          <t>VAGGERYD</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33613-2025</t>
        </is>
      </c>
      <c r="B125" t="inlineStr">
        <is>
          <t>avverkningsanmälan</t>
        </is>
      </c>
      <c r="C125" t="inlineStr">
        <is>
          <t>Föryngringsavverkning</t>
        </is>
      </c>
      <c r="D125" s="1" t="n">
        <v>45841</v>
      </c>
      <c r="E125" s="1" t="n">
        <v>46233</v>
      </c>
      <c r="F125" t="inlineStr">
        <is>
          <t>JÖNKÖPINGS LÄN</t>
        </is>
      </c>
      <c r="G125" t="inlineStr">
        <is>
          <t>VAGGERYD</t>
        </is>
      </c>
      <c r="I125" t="n">
        <v>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52454-2024</t>
        </is>
      </c>
      <c r="B126" t="inlineStr">
        <is>
          <t>avverkningsanmälan</t>
        </is>
      </c>
      <c r="C126" t="inlineStr">
        <is>
          <t>Föryngringsavverkning</t>
        </is>
      </c>
      <c r="D126" s="1" t="n">
        <v>45609</v>
      </c>
      <c r="E126" s="1" t="n">
        <v>46233</v>
      </c>
      <c r="F126" t="inlineStr">
        <is>
          <t>JÖNKÖPINGS LÄN</t>
        </is>
      </c>
      <c r="G126" t="inlineStr">
        <is>
          <t>VAGGERYD</t>
        </is>
      </c>
      <c r="H126" t="inlineStr">
        <is>
          <t>Sveaskog</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40190-2024</t>
        </is>
      </c>
      <c r="B127" t="inlineStr">
        <is>
          <t>avverkningsanmälan</t>
        </is>
      </c>
      <c r="C127" t="inlineStr">
        <is>
          <t>Föryngringsavverkning</t>
        </is>
      </c>
      <c r="D127" s="1" t="n">
        <v>45554</v>
      </c>
      <c r="E127" s="1" t="n">
        <v>46233</v>
      </c>
      <c r="F127" t="inlineStr">
        <is>
          <t>JÖNKÖPINGS LÄN</t>
        </is>
      </c>
      <c r="G127" t="inlineStr">
        <is>
          <t>VAGGERYD</t>
        </is>
      </c>
      <c r="H127" t="inlineStr">
        <is>
          <t>Sveaskog</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38504-2024</t>
        </is>
      </c>
      <c r="B128" t="inlineStr">
        <is>
          <t>avverkningsanmälan</t>
        </is>
      </c>
      <c r="C128" t="inlineStr">
        <is>
          <t>Föryngringsavverkning</t>
        </is>
      </c>
      <c r="D128" s="1" t="n">
        <v>45546</v>
      </c>
      <c r="E128" s="1" t="n">
        <v>46233</v>
      </c>
      <c r="F128" t="inlineStr">
        <is>
          <t>JÖNKÖPINGS LÄN</t>
        </is>
      </c>
      <c r="G128" t="inlineStr">
        <is>
          <t>VAGGERYD</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29639-2025</t>
        </is>
      </c>
      <c r="B129" t="inlineStr">
        <is>
          <t>avverkningsanmälan</t>
        </is>
      </c>
      <c r="C129" t="inlineStr">
        <is>
          <t>Föryngringsavverkning</t>
        </is>
      </c>
      <c r="D129" s="1" t="n">
        <v>45825</v>
      </c>
      <c r="E129" s="1" t="n">
        <v>46233</v>
      </c>
      <c r="F129" t="inlineStr">
        <is>
          <t>JÖNKÖPINGS LÄN</t>
        </is>
      </c>
      <c r="G129" t="inlineStr">
        <is>
          <t>VAGGERYD</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17116-2025</t>
        </is>
      </c>
      <c r="B130" t="inlineStr">
        <is>
          <t>avverkningsanmälan</t>
        </is>
      </c>
      <c r="C130" t="inlineStr">
        <is>
          <t>Föryngringsavverkning</t>
        </is>
      </c>
      <c r="D130" s="1" t="n">
        <v>45755</v>
      </c>
      <c r="E130" s="1" t="n">
        <v>46233</v>
      </c>
      <c r="F130" t="inlineStr">
        <is>
          <t>JÖNKÖPINGS LÄN</t>
        </is>
      </c>
      <c r="G130" t="inlineStr">
        <is>
          <t>VAGGERYD</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52420-2023</t>
        </is>
      </c>
      <c r="B131" t="inlineStr">
        <is>
          <t>avverkningsanmälan</t>
        </is>
      </c>
      <c r="C131" t="inlineStr">
        <is>
          <t>Föryngringsavverkning</t>
        </is>
      </c>
      <c r="D131" s="1" t="n">
        <v>45225</v>
      </c>
      <c r="E131" s="1" t="n">
        <v>46233</v>
      </c>
      <c r="F131" t="inlineStr">
        <is>
          <t>JÖNKÖPINGS LÄN</t>
        </is>
      </c>
      <c r="G131" t="inlineStr">
        <is>
          <t>VAGGERYD</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59180-2022</t>
        </is>
      </c>
      <c r="B132" t="inlineStr">
        <is>
          <t>avverkningsanmälan</t>
        </is>
      </c>
      <c r="C132" t="inlineStr">
        <is>
          <t>Föryngringsavverkning</t>
        </is>
      </c>
      <c r="D132" s="1" t="n">
        <v>44904</v>
      </c>
      <c r="E132" s="1" t="n">
        <v>46233</v>
      </c>
      <c r="F132" t="inlineStr">
        <is>
          <t>JÖNKÖPINGS LÄN</t>
        </is>
      </c>
      <c r="G132" t="inlineStr">
        <is>
          <t>VAGGERYD</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41624-2025</t>
        </is>
      </c>
      <c r="B133" t="inlineStr">
        <is>
          <t>avverkningsanmälan</t>
        </is>
      </c>
      <c r="C133" t="inlineStr">
        <is>
          <t>Föryngringsavverkning</t>
        </is>
      </c>
      <c r="D133" s="1" t="n">
        <v>45901</v>
      </c>
      <c r="E133" s="1" t="n">
        <v>46233</v>
      </c>
      <c r="F133" t="inlineStr">
        <is>
          <t>JÖNKÖPINGS LÄN</t>
        </is>
      </c>
      <c r="G133" t="inlineStr">
        <is>
          <t>VAGGERYD</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31194-2025</t>
        </is>
      </c>
      <c r="B134" t="inlineStr">
        <is>
          <t>avverkningsanmälan</t>
        </is>
      </c>
      <c r="C134" t="inlineStr">
        <is>
          <t>Föryngringsavverkning</t>
        </is>
      </c>
      <c r="D134" s="1" t="n">
        <v>45832</v>
      </c>
      <c r="E134" s="1" t="n">
        <v>46233</v>
      </c>
      <c r="F134" t="inlineStr">
        <is>
          <t>JÖNKÖPINGS LÄN</t>
        </is>
      </c>
      <c r="G134" t="inlineStr">
        <is>
          <t>VAGGERYD</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41744-2024</t>
        </is>
      </c>
      <c r="B135" t="inlineStr">
        <is>
          <t>avverkningsanmälan</t>
        </is>
      </c>
      <c r="C135" t="inlineStr">
        <is>
          <t>Föryngringsavverkning</t>
        </is>
      </c>
      <c r="D135" s="1" t="n">
        <v>45561</v>
      </c>
      <c r="E135" s="1" t="n">
        <v>46233</v>
      </c>
      <c r="F135" t="inlineStr">
        <is>
          <t>JÖNKÖPINGS LÄN</t>
        </is>
      </c>
      <c r="G135" t="inlineStr">
        <is>
          <t>VAGGERYD</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30941-2025</t>
        </is>
      </c>
      <c r="B136" t="inlineStr">
        <is>
          <t>avverkningsanmälan</t>
        </is>
      </c>
      <c r="C136" t="inlineStr">
        <is>
          <t>Föryngringsavverkning</t>
        </is>
      </c>
      <c r="D136" s="1" t="n">
        <v>45832</v>
      </c>
      <c r="E136" s="1" t="n">
        <v>46233</v>
      </c>
      <c r="F136" t="inlineStr">
        <is>
          <t>JÖNKÖPINGS LÄN</t>
        </is>
      </c>
      <c r="G136" t="inlineStr">
        <is>
          <t>VAGGERYD</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25925-2025</t>
        </is>
      </c>
      <c r="B137" t="inlineStr">
        <is>
          <t>avverkningsanmälan</t>
        </is>
      </c>
      <c r="C137" t="inlineStr">
        <is>
          <t>Föryngringsavverkning</t>
        </is>
      </c>
      <c r="D137" s="1" t="n">
        <v>45804</v>
      </c>
      <c r="E137" s="1" t="n">
        <v>46233</v>
      </c>
      <c r="F137" t="inlineStr">
        <is>
          <t>JÖNKÖPINGS LÄN</t>
        </is>
      </c>
      <c r="G137" t="inlineStr">
        <is>
          <t>VAGGERYD</t>
        </is>
      </c>
      <c r="H137" t="inlineStr">
        <is>
          <t>Kyrkan</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61908-2024</t>
        </is>
      </c>
      <c r="B138" t="inlineStr">
        <is>
          <t>avverkningsanmälan</t>
        </is>
      </c>
      <c r="C138" t="inlineStr">
        <is>
          <t>Föryngringsavverkning</t>
        </is>
      </c>
      <c r="D138" s="1" t="n">
        <v>45653</v>
      </c>
      <c r="E138" s="1" t="n">
        <v>46233</v>
      </c>
      <c r="F138" t="inlineStr">
        <is>
          <t>JÖNKÖPINGS LÄN</t>
        </is>
      </c>
      <c r="G138" t="inlineStr">
        <is>
          <t>VAGGERYD</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1489-2023</t>
        </is>
      </c>
      <c r="B139" t="inlineStr">
        <is>
          <t>avverkningsanmälan</t>
        </is>
      </c>
      <c r="C139" t="inlineStr">
        <is>
          <t>Föryngringsavverkning</t>
        </is>
      </c>
      <c r="D139" s="1" t="n">
        <v>44935</v>
      </c>
      <c r="E139" s="1" t="n">
        <v>46233</v>
      </c>
      <c r="F139" t="inlineStr">
        <is>
          <t>JÖNKÖPINGS LÄN</t>
        </is>
      </c>
      <c r="G139" t="inlineStr">
        <is>
          <t>VAGGERYD</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1493-2023</t>
        </is>
      </c>
      <c r="B140" t="inlineStr">
        <is>
          <t>avverkningsanmälan</t>
        </is>
      </c>
      <c r="C140" t="inlineStr">
        <is>
          <t>Föryngringsavverkning</t>
        </is>
      </c>
      <c r="D140" s="1" t="n">
        <v>44935</v>
      </c>
      <c r="E140" s="1" t="n">
        <v>46233</v>
      </c>
      <c r="F140" t="inlineStr">
        <is>
          <t>JÖNKÖPINGS LÄN</t>
        </is>
      </c>
      <c r="G140" t="inlineStr">
        <is>
          <t>VAGGERYD</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51855-2024</t>
        </is>
      </c>
      <c r="B141" t="inlineStr">
        <is>
          <t>avverkningsanmälan</t>
        </is>
      </c>
      <c r="C141" t="inlineStr">
        <is>
          <t>Föryngringsavverkning</t>
        </is>
      </c>
      <c r="D141" s="1" t="n">
        <v>45607</v>
      </c>
      <c r="E141" s="1" t="n">
        <v>46233</v>
      </c>
      <c r="F141" t="inlineStr">
        <is>
          <t>JÖNKÖPINGS LÄN</t>
        </is>
      </c>
      <c r="G141" t="inlineStr">
        <is>
          <t>VAGGERYD</t>
        </is>
      </c>
      <c r="H141" t="inlineStr">
        <is>
          <t>Sveaskog</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17009-2024</t>
        </is>
      </c>
      <c r="B142" t="inlineStr">
        <is>
          <t>avverkningsanmälan</t>
        </is>
      </c>
      <c r="C142" t="inlineStr">
        <is>
          <t>Föryngringsavverkning</t>
        </is>
      </c>
      <c r="D142" s="1" t="n">
        <v>45412</v>
      </c>
      <c r="E142" s="1" t="n">
        <v>46233</v>
      </c>
      <c r="F142" t="inlineStr">
        <is>
          <t>JÖNKÖPINGS LÄN</t>
        </is>
      </c>
      <c r="G142" t="inlineStr">
        <is>
          <t>VAGGERYD</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18519-2025</t>
        </is>
      </c>
      <c r="B143" t="inlineStr">
        <is>
          <t>avverkningsanmälan</t>
        </is>
      </c>
      <c r="C143" t="inlineStr">
        <is>
          <t>Föryngringsavverkning</t>
        </is>
      </c>
      <c r="D143" s="1" t="n">
        <v>45763</v>
      </c>
      <c r="E143" s="1" t="n">
        <v>46233</v>
      </c>
      <c r="F143" t="inlineStr">
        <is>
          <t>JÖNKÖPINGS LÄN</t>
        </is>
      </c>
      <c r="G143" t="inlineStr">
        <is>
          <t>VAGGERYD</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43261-2025</t>
        </is>
      </c>
      <c r="B144" t="inlineStr">
        <is>
          <t>avverkningsanmälan</t>
        </is>
      </c>
      <c r="C144" t="inlineStr">
        <is>
          <t>Föryngringsavverkning</t>
        </is>
      </c>
      <c r="D144" s="1" t="n">
        <v>45910</v>
      </c>
      <c r="E144" s="1" t="n">
        <v>46233</v>
      </c>
      <c r="F144" t="inlineStr">
        <is>
          <t>JÖNKÖPINGS LÄN</t>
        </is>
      </c>
      <c r="G144" t="inlineStr">
        <is>
          <t>VAGGERYD</t>
        </is>
      </c>
      <c r="I144" t="n">
        <v>6.5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46890-2024</t>
        </is>
      </c>
      <c r="B145" t="inlineStr">
        <is>
          <t>avverkningsanmälan</t>
        </is>
      </c>
      <c r="C145" t="inlineStr">
        <is>
          <t>Föryngringsavverkning</t>
        </is>
      </c>
      <c r="D145" s="1" t="n">
        <v>45583</v>
      </c>
      <c r="E145" s="1" t="n">
        <v>46233</v>
      </c>
      <c r="F145" t="inlineStr">
        <is>
          <t>JÖNKÖPINGS LÄN</t>
        </is>
      </c>
      <c r="G145" t="inlineStr">
        <is>
          <t>VAGGERYD</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19798-2023</t>
        </is>
      </c>
      <c r="B146" t="inlineStr">
        <is>
          <t>avverkningsanmälan</t>
        </is>
      </c>
      <c r="C146" t="inlineStr">
        <is>
          <t>Föryngringsavverkning</t>
        </is>
      </c>
      <c r="D146" s="1" t="n">
        <v>45051</v>
      </c>
      <c r="E146" s="1" t="n">
        <v>46233</v>
      </c>
      <c r="F146" t="inlineStr">
        <is>
          <t>JÖNKÖPINGS LÄN</t>
        </is>
      </c>
      <c r="G146" t="inlineStr">
        <is>
          <t>VAGGERYD</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4180-2023</t>
        </is>
      </c>
      <c r="B147" t="inlineStr">
        <is>
          <t>avverkningsanmälan</t>
        </is>
      </c>
      <c r="C147" t="inlineStr">
        <is>
          <t>Föryngringsavverkning</t>
        </is>
      </c>
      <c r="D147" s="1" t="n">
        <v>44953</v>
      </c>
      <c r="E147" s="1" t="n">
        <v>46233</v>
      </c>
      <c r="F147" t="inlineStr">
        <is>
          <t>JÖNKÖPINGS LÄN</t>
        </is>
      </c>
      <c r="G147" t="inlineStr">
        <is>
          <t>VAGGERYD</t>
        </is>
      </c>
      <c r="H147" t="inlineStr">
        <is>
          <t>Sveaskog</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4193-2023</t>
        </is>
      </c>
      <c r="B148" t="inlineStr">
        <is>
          <t>avverkningsanmälan</t>
        </is>
      </c>
      <c r="C148" t="inlineStr">
        <is>
          <t>Föryngringsavverkning</t>
        </is>
      </c>
      <c r="D148" s="1" t="n">
        <v>44953</v>
      </c>
      <c r="E148" s="1" t="n">
        <v>46233</v>
      </c>
      <c r="F148" t="inlineStr">
        <is>
          <t>JÖNKÖPINGS LÄN</t>
        </is>
      </c>
      <c r="G148" t="inlineStr">
        <is>
          <t>VAGGERYD</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6145-2023</t>
        </is>
      </c>
      <c r="B149" t="inlineStr">
        <is>
          <t>avverkningsanmälan</t>
        </is>
      </c>
      <c r="C149" t="inlineStr">
        <is>
          <t>Föryngringsavverkning</t>
        </is>
      </c>
      <c r="D149" s="1" t="n">
        <v>44964</v>
      </c>
      <c r="E149" s="1" t="n">
        <v>46233</v>
      </c>
      <c r="F149" t="inlineStr">
        <is>
          <t>JÖNKÖPINGS LÄN</t>
        </is>
      </c>
      <c r="G149" t="inlineStr">
        <is>
          <t>VAGGERYD</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34091-2025</t>
        </is>
      </c>
      <c r="B150" t="inlineStr">
        <is>
          <t>avverkningsanmälan</t>
        </is>
      </c>
      <c r="C150" t="inlineStr">
        <is>
          <t>Föryngringsavverkning</t>
        </is>
      </c>
      <c r="D150" s="1" t="n">
        <v>45845</v>
      </c>
      <c r="E150" s="1" t="n">
        <v>46233</v>
      </c>
      <c r="F150" t="inlineStr">
        <is>
          <t>JÖNKÖPINGS LÄN</t>
        </is>
      </c>
      <c r="G150" t="inlineStr">
        <is>
          <t>VAGGERYD</t>
        </is>
      </c>
      <c r="H150" t="inlineStr">
        <is>
          <t>Sveaskog</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45305-2025</t>
        </is>
      </c>
      <c r="B151" t="inlineStr">
        <is>
          <t>avverkningsanmälan</t>
        </is>
      </c>
      <c r="C151" t="inlineStr">
        <is>
          <t>Föryngringsavverkning</t>
        </is>
      </c>
      <c r="D151" s="1" t="n">
        <v>45921</v>
      </c>
      <c r="E151" s="1" t="n">
        <v>46233</v>
      </c>
      <c r="F151" t="inlineStr">
        <is>
          <t>JÖNKÖPINGS LÄN</t>
        </is>
      </c>
      <c r="G151" t="inlineStr">
        <is>
          <t>VAGGERYD</t>
        </is>
      </c>
      <c r="I151" t="n">
        <v>5.7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563-2023</t>
        </is>
      </c>
      <c r="B152" t="inlineStr">
        <is>
          <t>avverkningsanmälan</t>
        </is>
      </c>
      <c r="C152" t="inlineStr">
        <is>
          <t>Föryngringsavverkning</t>
        </is>
      </c>
      <c r="D152" s="1" t="n">
        <v>44930</v>
      </c>
      <c r="E152" s="1" t="n">
        <v>46233</v>
      </c>
      <c r="F152" t="inlineStr">
        <is>
          <t>JÖNKÖPINGS LÄN</t>
        </is>
      </c>
      <c r="G152" t="inlineStr">
        <is>
          <t>VAGGERYD</t>
        </is>
      </c>
      <c r="I152" t="n">
        <v>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45302-2025</t>
        </is>
      </c>
      <c r="B153" t="inlineStr">
        <is>
          <t>avverkningsanmälan</t>
        </is>
      </c>
      <c r="C153" t="inlineStr">
        <is>
          <t>Föryngringsavverkning</t>
        </is>
      </c>
      <c r="D153" s="1" t="n">
        <v>45921</v>
      </c>
      <c r="E153" s="1" t="n">
        <v>46233</v>
      </c>
      <c r="F153" t="inlineStr">
        <is>
          <t>JÖNKÖPINGS LÄN</t>
        </is>
      </c>
      <c r="G153" t="inlineStr">
        <is>
          <t>VAGGERYD</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45303-2025</t>
        </is>
      </c>
      <c r="B154" t="inlineStr">
        <is>
          <t>avverkningsanmälan</t>
        </is>
      </c>
      <c r="C154" t="inlineStr">
        <is>
          <t>Föryngringsavverkning</t>
        </is>
      </c>
      <c r="D154" s="1" t="n">
        <v>45921</v>
      </c>
      <c r="E154" s="1" t="n">
        <v>46233</v>
      </c>
      <c r="F154" t="inlineStr">
        <is>
          <t>JÖNKÖPINGS LÄN</t>
        </is>
      </c>
      <c r="G154" t="inlineStr">
        <is>
          <t>VAGGERYD</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45304-2025</t>
        </is>
      </c>
      <c r="B155" t="inlineStr">
        <is>
          <t>avverkningsanmälan</t>
        </is>
      </c>
      <c r="C155" t="inlineStr">
        <is>
          <t>Föryngringsavverkning</t>
        </is>
      </c>
      <c r="D155" s="1" t="n">
        <v>45921</v>
      </c>
      <c r="E155" s="1" t="n">
        <v>46233</v>
      </c>
      <c r="F155" t="inlineStr">
        <is>
          <t>JÖNKÖPINGS LÄN</t>
        </is>
      </c>
      <c r="G155" t="inlineStr">
        <is>
          <t>VAGGERYD</t>
        </is>
      </c>
      <c r="I155" t="n">
        <v>5.2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18515-2025</t>
        </is>
      </c>
      <c r="B156" t="inlineStr">
        <is>
          <t>avverkningsanmälan</t>
        </is>
      </c>
      <c r="C156" t="inlineStr">
        <is>
          <t>Föryngringsavverkning</t>
        </is>
      </c>
      <c r="D156" s="1" t="n">
        <v>45763</v>
      </c>
      <c r="E156" s="1" t="n">
        <v>46233</v>
      </c>
      <c r="F156" t="inlineStr">
        <is>
          <t>JÖNKÖPINGS LÄN</t>
        </is>
      </c>
      <c r="G156" t="inlineStr">
        <is>
          <t>VAGGERYD</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45542-2025</t>
        </is>
      </c>
      <c r="B157" t="inlineStr">
        <is>
          <t>avverkningsanmälan</t>
        </is>
      </c>
      <c r="C157" t="inlineStr">
        <is>
          <t>Föryngringsavverkning</t>
        </is>
      </c>
      <c r="D157" s="1" t="n">
        <v>45922</v>
      </c>
      <c r="E157" s="1" t="n">
        <v>46233</v>
      </c>
      <c r="F157" t="inlineStr">
        <is>
          <t>JÖNKÖPINGS LÄN</t>
        </is>
      </c>
      <c r="G157" t="inlineStr">
        <is>
          <t>VAGGERYD</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35570-2025</t>
        </is>
      </c>
      <c r="B158" t="inlineStr">
        <is>
          <t>avverkningsanmälan</t>
        </is>
      </c>
      <c r="C158" t="inlineStr">
        <is>
          <t>Föryngringsavverkning</t>
        </is>
      </c>
      <c r="D158" s="1" t="n">
        <v>45856</v>
      </c>
      <c r="E158" s="1" t="n">
        <v>46233</v>
      </c>
      <c r="F158" t="inlineStr">
        <is>
          <t>JÖNKÖPINGS LÄN</t>
        </is>
      </c>
      <c r="G158" t="inlineStr">
        <is>
          <t>VAGGERYD</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12455-2022</t>
        </is>
      </c>
      <c r="B159" t="inlineStr">
        <is>
          <t>avverkningsanmälan</t>
        </is>
      </c>
      <c r="C159" t="inlineStr">
        <is>
          <t>Föryngringsavverkning</t>
        </is>
      </c>
      <c r="D159" s="1" t="n">
        <v>44638</v>
      </c>
      <c r="E159" s="1" t="n">
        <v>46233</v>
      </c>
      <c r="F159" t="inlineStr">
        <is>
          <t>JÖNKÖPINGS LÄN</t>
        </is>
      </c>
      <c r="G159" t="inlineStr">
        <is>
          <t>VAGGERYD</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26839-2023</t>
        </is>
      </c>
      <c r="B160" t="inlineStr">
        <is>
          <t>avverkningsanmälan</t>
        </is>
      </c>
      <c r="C160" t="inlineStr">
        <is>
          <t>Föryngringsavverkning</t>
        </is>
      </c>
      <c r="D160" s="1" t="n">
        <v>45093</v>
      </c>
      <c r="E160" s="1" t="n">
        <v>46233</v>
      </c>
      <c r="F160" t="inlineStr">
        <is>
          <t>JÖNKÖPINGS LÄN</t>
        </is>
      </c>
      <c r="G160" t="inlineStr">
        <is>
          <t>VAGGERYD</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20252-2025</t>
        </is>
      </c>
      <c r="B161" t="inlineStr">
        <is>
          <t>avverkningsanmälan</t>
        </is>
      </c>
      <c r="C161" t="inlineStr">
        <is>
          <t>Avverkning för annat ändamål</t>
        </is>
      </c>
      <c r="D161" s="1" t="n">
        <v>45772</v>
      </c>
      <c r="E161" s="1" t="n">
        <v>46233</v>
      </c>
      <c r="F161" t="inlineStr">
        <is>
          <t>JÖNKÖPINGS LÄN</t>
        </is>
      </c>
      <c r="G161" t="inlineStr">
        <is>
          <t>VAGGERYD</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11585-2023</t>
        </is>
      </c>
      <c r="B162" t="inlineStr">
        <is>
          <t>avverkningsanmälan</t>
        </is>
      </c>
      <c r="C162" t="inlineStr">
        <is>
          <t>Föryngringsavverkning</t>
        </is>
      </c>
      <c r="D162" s="1" t="n">
        <v>44994</v>
      </c>
      <c r="E162" s="1" t="n">
        <v>46233</v>
      </c>
      <c r="F162" t="inlineStr">
        <is>
          <t>JÖNKÖPINGS LÄN</t>
        </is>
      </c>
      <c r="G162" t="inlineStr">
        <is>
          <t>VAGGERYD</t>
        </is>
      </c>
      <c r="I162" t="n">
        <v>4.1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11791-2023</t>
        </is>
      </c>
      <c r="B163" t="inlineStr">
        <is>
          <t>avverkningsanmälan</t>
        </is>
      </c>
      <c r="C163" t="inlineStr">
        <is>
          <t>Föryngringsavverkning</t>
        </is>
      </c>
      <c r="D163" s="1" t="n">
        <v>44994</v>
      </c>
      <c r="E163" s="1" t="n">
        <v>46233</v>
      </c>
      <c r="F163" t="inlineStr">
        <is>
          <t>JÖNKÖPINGS LÄN</t>
        </is>
      </c>
      <c r="G163" t="inlineStr">
        <is>
          <t>VAGGERYD</t>
        </is>
      </c>
      <c r="H163" t="inlineStr">
        <is>
          <t>Sveaskog</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6452-2026</t>
        </is>
      </c>
      <c r="B164" t="inlineStr">
        <is>
          <t>avverkningsanmälan</t>
        </is>
      </c>
      <c r="C164" t="inlineStr">
        <is>
          <t>Föryngringsavverkning</t>
        </is>
      </c>
      <c r="D164" s="1" t="n">
        <v>46055</v>
      </c>
      <c r="E164" s="1" t="n">
        <v>46233</v>
      </c>
      <c r="F164" t="inlineStr">
        <is>
          <t>JÖNKÖPINGS LÄN</t>
        </is>
      </c>
      <c r="G164" t="inlineStr">
        <is>
          <t>VAGGERYD</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2027-2025</t>
        </is>
      </c>
      <c r="B165" t="inlineStr">
        <is>
          <t>avverkningsanmälan</t>
        </is>
      </c>
      <c r="C165" t="inlineStr">
        <is>
          <t>Föryngringsavverkning</t>
        </is>
      </c>
      <c r="D165" s="1" t="n">
        <v>45672</v>
      </c>
      <c r="E165" s="1" t="n">
        <v>46233</v>
      </c>
      <c r="F165" t="inlineStr">
        <is>
          <t>JÖNKÖPINGS LÄN</t>
        </is>
      </c>
      <c r="G165" t="inlineStr">
        <is>
          <t>VAGGERYD</t>
        </is>
      </c>
      <c r="H165" t="inlineStr">
        <is>
          <t>Sveaskog</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64440-2023</t>
        </is>
      </c>
      <c r="B166" t="inlineStr">
        <is>
          <t>avverkningsanmälan</t>
        </is>
      </c>
      <c r="C166" t="inlineStr">
        <is>
          <t>Föryngringsavverkning</t>
        </is>
      </c>
      <c r="D166" s="1" t="n">
        <v>45280</v>
      </c>
      <c r="E166" s="1" t="n">
        <v>46233</v>
      </c>
      <c r="F166" t="inlineStr">
        <is>
          <t>JÖNKÖPINGS LÄN</t>
        </is>
      </c>
      <c r="G166" t="inlineStr">
        <is>
          <t>VAGGERYD</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6460-2026</t>
        </is>
      </c>
      <c r="B167" t="inlineStr">
        <is>
          <t>avverkningsanmälan</t>
        </is>
      </c>
      <c r="C167" t="inlineStr">
        <is>
          <t>Föryngringsavverkning</t>
        </is>
      </c>
      <c r="D167" s="1" t="n">
        <v>46056</v>
      </c>
      <c r="E167" s="1" t="n">
        <v>46233</v>
      </c>
      <c r="F167" t="inlineStr">
        <is>
          <t>JÖNKÖPINGS LÄN</t>
        </is>
      </c>
      <c r="G167" t="inlineStr">
        <is>
          <t>VAGGERYD</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6510-2026</t>
        </is>
      </c>
      <c r="B168" t="inlineStr">
        <is>
          <t>avverkningsanmälan</t>
        </is>
      </c>
      <c r="C168" t="inlineStr">
        <is>
          <t>Föryngringsavverkning</t>
        </is>
      </c>
      <c r="D168" s="1" t="n">
        <v>46056</v>
      </c>
      <c r="E168" s="1" t="n">
        <v>46233</v>
      </c>
      <c r="F168" t="inlineStr">
        <is>
          <t>JÖNKÖPINGS LÄN</t>
        </is>
      </c>
      <c r="G168" t="inlineStr">
        <is>
          <t>VAGGERYD</t>
        </is>
      </c>
      <c r="I168" t="n">
        <v>4.5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9103-2024</t>
        </is>
      </c>
      <c r="B169" t="inlineStr">
        <is>
          <t>avverkningsanmälan</t>
        </is>
      </c>
      <c r="C169" t="inlineStr">
        <is>
          <t>Avverkning för annat ändamål</t>
        </is>
      </c>
      <c r="D169" s="1" t="n">
        <v>45357</v>
      </c>
      <c r="E169" s="1" t="n">
        <v>46233</v>
      </c>
      <c r="F169" t="inlineStr">
        <is>
          <t>JÖNKÖPINGS LÄN</t>
        </is>
      </c>
      <c r="G169" t="inlineStr">
        <is>
          <t>VAGGERYD</t>
        </is>
      </c>
      <c r="I169" t="n">
        <v>3.3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6450-2026</t>
        </is>
      </c>
      <c r="B170" t="inlineStr">
        <is>
          <t>avverkningsanmälan</t>
        </is>
      </c>
      <c r="C170" t="inlineStr">
        <is>
          <t>Föryngringsavverkning</t>
        </is>
      </c>
      <c r="D170" s="1" t="n">
        <v>46055</v>
      </c>
      <c r="E170" s="1" t="n">
        <v>46233</v>
      </c>
      <c r="F170" t="inlineStr">
        <is>
          <t>JÖNKÖPINGS LÄN</t>
        </is>
      </c>
      <c r="G170" t="inlineStr">
        <is>
          <t>VAGGERYD</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7183-2023</t>
        </is>
      </c>
      <c r="B171" t="inlineStr">
        <is>
          <t>avverkningsanmälan</t>
        </is>
      </c>
      <c r="C171" t="inlineStr">
        <is>
          <t>Föryngringsavverkning</t>
        </is>
      </c>
      <c r="D171" s="1" t="n">
        <v>44965</v>
      </c>
      <c r="E171" s="1" t="n">
        <v>46233</v>
      </c>
      <c r="F171" t="inlineStr">
        <is>
          <t>JÖNKÖPINGS LÄN</t>
        </is>
      </c>
      <c r="G171" t="inlineStr">
        <is>
          <t>VAGGERYD</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43050-2024</t>
        </is>
      </c>
      <c r="B172" t="inlineStr">
        <is>
          <t>avverkningsanmälan</t>
        </is>
      </c>
      <c r="C172" t="inlineStr">
        <is>
          <t>Föryngringsavverkning</t>
        </is>
      </c>
      <c r="D172" s="1" t="n">
        <v>45567</v>
      </c>
      <c r="E172" s="1" t="n">
        <v>46233</v>
      </c>
      <c r="F172" t="inlineStr">
        <is>
          <t>JÖNKÖPINGS LÄN</t>
        </is>
      </c>
      <c r="G172" t="inlineStr">
        <is>
          <t>VAGGERYD</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37757-2025</t>
        </is>
      </c>
      <c r="B173" t="inlineStr">
        <is>
          <t>avverkningsanmälan</t>
        </is>
      </c>
      <c r="C173" t="inlineStr">
        <is>
          <t>Föryngringsavverkning</t>
        </is>
      </c>
      <c r="D173" s="1" t="n">
        <v>45880</v>
      </c>
      <c r="E173" s="1" t="n">
        <v>46233</v>
      </c>
      <c r="F173" t="inlineStr">
        <is>
          <t>JÖNKÖPINGS LÄN</t>
        </is>
      </c>
      <c r="G173" t="inlineStr">
        <is>
          <t>VAGGERYD</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6509-2026</t>
        </is>
      </c>
      <c r="B174" t="inlineStr">
        <is>
          <t>avverkningsanmälan</t>
        </is>
      </c>
      <c r="C174" t="inlineStr">
        <is>
          <t>Föryngringsavverkning</t>
        </is>
      </c>
      <c r="D174" s="1" t="n">
        <v>46056</v>
      </c>
      <c r="E174" s="1" t="n">
        <v>46233</v>
      </c>
      <c r="F174" t="inlineStr">
        <is>
          <t>JÖNKÖPINGS LÄN</t>
        </is>
      </c>
      <c r="G174" t="inlineStr">
        <is>
          <t>VAGGERYD</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6451-2026</t>
        </is>
      </c>
      <c r="B175" t="inlineStr">
        <is>
          <t>avverkningsanmälan</t>
        </is>
      </c>
      <c r="C175" t="inlineStr">
        <is>
          <t>Föryngringsavverkning</t>
        </is>
      </c>
      <c r="D175" s="1" t="n">
        <v>46055</v>
      </c>
      <c r="E175" s="1" t="n">
        <v>46233</v>
      </c>
      <c r="F175" t="inlineStr">
        <is>
          <t>JÖNKÖPINGS LÄN</t>
        </is>
      </c>
      <c r="G175" t="inlineStr">
        <is>
          <t>VAGGERYD</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49230-2025</t>
        </is>
      </c>
      <c r="B176" t="inlineStr">
        <is>
          <t>avverkningsanmälan</t>
        </is>
      </c>
      <c r="C176" t="inlineStr">
        <is>
          <t>Föryngringsavverkning</t>
        </is>
      </c>
      <c r="D176" s="1" t="n">
        <v>45938</v>
      </c>
      <c r="E176" s="1" t="n">
        <v>46233</v>
      </c>
      <c r="F176" t="inlineStr">
        <is>
          <t>JÖNKÖPINGS LÄN</t>
        </is>
      </c>
      <c r="G176" t="inlineStr">
        <is>
          <t>VAGGERYD</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16221-2023</t>
        </is>
      </c>
      <c r="B177" t="inlineStr">
        <is>
          <t>avverkningsanmälan</t>
        </is>
      </c>
      <c r="C177" t="inlineStr">
        <is>
          <t>Föryngringsavverkning</t>
        </is>
      </c>
      <c r="D177" s="1" t="n">
        <v>45028</v>
      </c>
      <c r="E177" s="1" t="n">
        <v>46233</v>
      </c>
      <c r="F177" t="inlineStr">
        <is>
          <t>JÖNKÖPINGS LÄN</t>
        </is>
      </c>
      <c r="G177" t="inlineStr">
        <is>
          <t>VAGGERYD</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57192-2024</t>
        </is>
      </c>
      <c r="B178" t="inlineStr">
        <is>
          <t>avverkningsanmälan</t>
        </is>
      </c>
      <c r="C178" t="inlineStr">
        <is>
          <t>Avverkning för annat ändamål</t>
        </is>
      </c>
      <c r="D178" s="1" t="n">
        <v>45629</v>
      </c>
      <c r="E178" s="1" t="n">
        <v>46233</v>
      </c>
      <c r="F178" t="inlineStr">
        <is>
          <t>JÖNKÖPINGS LÄN</t>
        </is>
      </c>
      <c r="G178" t="inlineStr">
        <is>
          <t>VAGGERYD</t>
        </is>
      </c>
      <c r="I178" t="n">
        <v>20.8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50415-2025</t>
        </is>
      </c>
      <c r="B179" t="inlineStr">
        <is>
          <t>avverkningsanmälan</t>
        </is>
      </c>
      <c r="C179" t="inlineStr">
        <is>
          <t>Föryngringsavverkning</t>
        </is>
      </c>
      <c r="D179" s="1" t="n">
        <v>45944</v>
      </c>
      <c r="E179" s="1" t="n">
        <v>46233</v>
      </c>
      <c r="F179" t="inlineStr">
        <is>
          <t>JÖNKÖPINGS LÄN</t>
        </is>
      </c>
      <c r="G179" t="inlineStr">
        <is>
          <t>VAGGERYD</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50418-2025</t>
        </is>
      </c>
      <c r="B180" t="inlineStr">
        <is>
          <t>avverkningsanmälan</t>
        </is>
      </c>
      <c r="C180" t="inlineStr">
        <is>
          <t>Föryngringsavverkning</t>
        </is>
      </c>
      <c r="D180" s="1" t="n">
        <v>45944</v>
      </c>
      <c r="E180" s="1" t="n">
        <v>46233</v>
      </c>
      <c r="F180" t="inlineStr">
        <is>
          <t>JÖNKÖPINGS LÄN</t>
        </is>
      </c>
      <c r="G180" t="inlineStr">
        <is>
          <t>VAGGERYD</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11597-2022</t>
        </is>
      </c>
      <c r="B181" t="inlineStr">
        <is>
          <t>avverkningsanmälan</t>
        </is>
      </c>
      <c r="C181" t="inlineStr">
        <is>
          <t>Föryngringsavverkning</t>
        </is>
      </c>
      <c r="D181" s="1" t="n">
        <v>44631</v>
      </c>
      <c r="E181" s="1" t="n">
        <v>46233</v>
      </c>
      <c r="F181" t="inlineStr">
        <is>
          <t>JÖNKÖPINGS LÄN</t>
        </is>
      </c>
      <c r="G181" t="inlineStr">
        <is>
          <t>VAGGERYD</t>
        </is>
      </c>
      <c r="H181" t="inlineStr">
        <is>
          <t>Sveaskog</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6385-2023</t>
        </is>
      </c>
      <c r="B182" t="inlineStr">
        <is>
          <t>avverkningsanmälan</t>
        </is>
      </c>
      <c r="C182" t="inlineStr">
        <is>
          <t>Föryngringsavverkning</t>
        </is>
      </c>
      <c r="D182" s="1" t="n">
        <v>44960</v>
      </c>
      <c r="E182" s="1" t="n">
        <v>46233</v>
      </c>
      <c r="F182" t="inlineStr">
        <is>
          <t>JÖNKÖPINGS LÄN</t>
        </is>
      </c>
      <c r="G182" t="inlineStr">
        <is>
          <t>VAGGERYD</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51628-2025</t>
        </is>
      </c>
      <c r="B183" t="inlineStr">
        <is>
          <t>avverkningsanmälan</t>
        </is>
      </c>
      <c r="C183" t="inlineStr">
        <is>
          <t>Föryngringsavverkning</t>
        </is>
      </c>
      <c r="D183" s="1" t="n">
        <v>45951</v>
      </c>
      <c r="E183" s="1" t="n">
        <v>46233</v>
      </c>
      <c r="F183" t="inlineStr">
        <is>
          <t>JÖNKÖPINGS LÄN</t>
        </is>
      </c>
      <c r="G183" t="inlineStr">
        <is>
          <t>VAGGERYD</t>
        </is>
      </c>
      <c r="I183" t="n">
        <v>4.6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52084-2025</t>
        </is>
      </c>
      <c r="B184" t="inlineStr">
        <is>
          <t>avverkningsanmälan</t>
        </is>
      </c>
      <c r="C184" t="inlineStr">
        <is>
          <t>Föryngringsavverkning</t>
        </is>
      </c>
      <c r="D184" s="1" t="n">
        <v>45952</v>
      </c>
      <c r="E184" s="1" t="n">
        <v>46233</v>
      </c>
      <c r="F184" t="inlineStr">
        <is>
          <t>JÖNKÖPINGS LÄN</t>
        </is>
      </c>
      <c r="G184" t="inlineStr">
        <is>
          <t>VAGGERYD</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39222-2023</t>
        </is>
      </c>
      <c r="B185" t="inlineStr">
        <is>
          <t>avverkningsanmälan</t>
        </is>
      </c>
      <c r="C185" t="inlineStr">
        <is>
          <t>Föryngringsavverkning</t>
        </is>
      </c>
      <c r="D185" s="1" t="n">
        <v>45166</v>
      </c>
      <c r="E185" s="1" t="n">
        <v>46233</v>
      </c>
      <c r="F185" t="inlineStr">
        <is>
          <t>JÖNKÖPINGS LÄN</t>
        </is>
      </c>
      <c r="G185" t="inlineStr">
        <is>
          <t>VAGGERYD</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51811-2025</t>
        </is>
      </c>
      <c r="B186" t="inlineStr">
        <is>
          <t>avverkningsanmälan</t>
        </is>
      </c>
      <c r="C186" t="inlineStr">
        <is>
          <t>Föryngringsavverkning</t>
        </is>
      </c>
      <c r="D186" s="1" t="n">
        <v>45951</v>
      </c>
      <c r="E186" s="1" t="n">
        <v>46233</v>
      </c>
      <c r="F186" t="inlineStr">
        <is>
          <t>JÖNKÖPINGS LÄN</t>
        </is>
      </c>
      <c r="G186" t="inlineStr">
        <is>
          <t>VAGGERYD</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46883-2024</t>
        </is>
      </c>
      <c r="B187" t="inlineStr">
        <is>
          <t>avverkningsanmälan</t>
        </is>
      </c>
      <c r="C187" t="inlineStr">
        <is>
          <t>Föryngringsavverkning</t>
        </is>
      </c>
      <c r="D187" s="1" t="n">
        <v>45583</v>
      </c>
      <c r="E187" s="1" t="n">
        <v>46233</v>
      </c>
      <c r="F187" t="inlineStr">
        <is>
          <t>JÖNKÖPINGS LÄN</t>
        </is>
      </c>
      <c r="G187" t="inlineStr">
        <is>
          <t>VAGGERYD</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6104-2025</t>
        </is>
      </c>
      <c r="B188" t="inlineStr">
        <is>
          <t>avverkningsanmälan</t>
        </is>
      </c>
      <c r="C188" t="inlineStr">
        <is>
          <t>Föryngringsavverkning</t>
        </is>
      </c>
      <c r="D188" s="1" t="n">
        <v>45697</v>
      </c>
      <c r="E188" s="1" t="n">
        <v>46233</v>
      </c>
      <c r="F188" t="inlineStr">
        <is>
          <t>JÖNKÖPINGS LÄN</t>
        </is>
      </c>
      <c r="G188" t="inlineStr">
        <is>
          <t>VAGGERYD</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16093-2025</t>
        </is>
      </c>
      <c r="B189" t="inlineStr">
        <is>
          <t>avverkningsanmälan</t>
        </is>
      </c>
      <c r="C189" t="inlineStr">
        <is>
          <t>Föryngringsavverkning</t>
        </is>
      </c>
      <c r="D189" s="1" t="n">
        <v>45749</v>
      </c>
      <c r="E189" s="1" t="n">
        <v>46233</v>
      </c>
      <c r="F189" t="inlineStr">
        <is>
          <t>JÖNKÖPINGS LÄN</t>
        </is>
      </c>
      <c r="G189" t="inlineStr">
        <is>
          <t>VAGGERYD</t>
        </is>
      </c>
      <c r="H189" t="inlineStr">
        <is>
          <t>Sveaskog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58617-2024</t>
        </is>
      </c>
      <c r="B190" t="inlineStr">
        <is>
          <t>avverkningsanmälan</t>
        </is>
      </c>
      <c r="C190" t="inlineStr">
        <is>
          <t>Föryngringsavverkning</t>
        </is>
      </c>
      <c r="D190" s="1" t="n">
        <v>45635</v>
      </c>
      <c r="E190" s="1" t="n">
        <v>46233</v>
      </c>
      <c r="F190" t="inlineStr">
        <is>
          <t>JÖNKÖPINGS LÄN</t>
        </is>
      </c>
      <c r="G190" t="inlineStr">
        <is>
          <t>VAGGERYD</t>
        </is>
      </c>
      <c r="H190" t="inlineStr">
        <is>
          <t>Sveaskog</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9826-2026</t>
        </is>
      </c>
      <c r="B191" t="inlineStr">
        <is>
          <t>avverkningsanmälan</t>
        </is>
      </c>
      <c r="C191" t="inlineStr">
        <is>
          <t>Föryngringsavverkning</t>
        </is>
      </c>
      <c r="D191" s="1" t="n">
        <v>46071</v>
      </c>
      <c r="E191" s="1" t="n">
        <v>46233</v>
      </c>
      <c r="F191" t="inlineStr">
        <is>
          <t>JÖNKÖPINGS LÄN</t>
        </is>
      </c>
      <c r="G191" t="inlineStr">
        <is>
          <t>VAGGERYD</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9700-2026</t>
        </is>
      </c>
      <c r="B192" t="inlineStr">
        <is>
          <t>avverkningsanmälan</t>
        </is>
      </c>
      <c r="C192" t="inlineStr">
        <is>
          <t>Föryngringsavverkning</t>
        </is>
      </c>
      <c r="D192" s="1" t="n">
        <v>46072</v>
      </c>
      <c r="E192" s="1" t="n">
        <v>46233</v>
      </c>
      <c r="F192" t="inlineStr">
        <is>
          <t>JÖNKÖPINGS LÄN</t>
        </is>
      </c>
      <c r="G192" t="inlineStr">
        <is>
          <t>VAGGERYD</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5803-2025</t>
        </is>
      </c>
      <c r="B193" t="inlineStr">
        <is>
          <t>avverkningsanmälan</t>
        </is>
      </c>
      <c r="C193" t="inlineStr">
        <is>
          <t>Föryngringsavverkning</t>
        </is>
      </c>
      <c r="D193" s="1" t="n">
        <v>45694</v>
      </c>
      <c r="E193" s="1" t="n">
        <v>46233</v>
      </c>
      <c r="F193" t="inlineStr">
        <is>
          <t>JÖNKÖPINGS LÄN</t>
        </is>
      </c>
      <c r="G193" t="inlineStr">
        <is>
          <t>VAGGERYD</t>
        </is>
      </c>
      <c r="I193" t="n">
        <v>7.3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36547-2023</t>
        </is>
      </c>
      <c r="B194" t="inlineStr">
        <is>
          <t>avverkningsanmälan</t>
        </is>
      </c>
      <c r="C194" t="inlineStr">
        <is>
          <t>Avverkning för annat ändamål</t>
        </is>
      </c>
      <c r="D194" s="1" t="n">
        <v>45152</v>
      </c>
      <c r="E194" s="1" t="n">
        <v>46233</v>
      </c>
      <c r="F194" t="inlineStr">
        <is>
          <t>JÖNKÖPINGS LÄN</t>
        </is>
      </c>
      <c r="G194" t="inlineStr">
        <is>
          <t>VAGGERYD</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36555-2023</t>
        </is>
      </c>
      <c r="B195" t="inlineStr">
        <is>
          <t>avverkningsanmälan</t>
        </is>
      </c>
      <c r="C195" t="inlineStr">
        <is>
          <t>Avverkning för annat ändamål</t>
        </is>
      </c>
      <c r="D195" s="1" t="n">
        <v>45152</v>
      </c>
      <c r="E195" s="1" t="n">
        <v>46233</v>
      </c>
      <c r="F195" t="inlineStr">
        <is>
          <t>JÖNKÖPINGS LÄN</t>
        </is>
      </c>
      <c r="G195" t="inlineStr">
        <is>
          <t>VAGGERYD</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58915-2024</t>
        </is>
      </c>
      <c r="B196" t="inlineStr">
        <is>
          <t>avverkningsanmälan</t>
        </is>
      </c>
      <c r="C196" t="inlineStr">
        <is>
          <t>Föryngringsavverkning</t>
        </is>
      </c>
      <c r="D196" s="1" t="n">
        <v>45636</v>
      </c>
      <c r="E196" s="1" t="n">
        <v>46233</v>
      </c>
      <c r="F196" t="inlineStr">
        <is>
          <t>JÖNKÖPINGS LÄN</t>
        </is>
      </c>
      <c r="G196" t="inlineStr">
        <is>
          <t>VAGGERYD</t>
        </is>
      </c>
      <c r="H196" t="inlineStr">
        <is>
          <t>Sveaskog</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56550-2025</t>
        </is>
      </c>
      <c r="B197" t="inlineStr">
        <is>
          <t>avverkningsanmälan</t>
        </is>
      </c>
      <c r="C197" t="inlineStr">
        <is>
          <t>Föryngringsavverkning</t>
        </is>
      </c>
      <c r="D197" s="1" t="n">
        <v>45975</v>
      </c>
      <c r="E197" s="1" t="n">
        <v>46233</v>
      </c>
      <c r="F197" t="inlineStr">
        <is>
          <t>JÖNKÖPINGS LÄN</t>
        </is>
      </c>
      <c r="G197" t="inlineStr">
        <is>
          <t>VAGGERYD</t>
        </is>
      </c>
      <c r="H197" t="inlineStr">
        <is>
          <t>Sveaskog</t>
        </is>
      </c>
      <c r="I197" t="n">
        <v>10.1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56985-2025</t>
        </is>
      </c>
      <c r="B198" t="inlineStr">
        <is>
          <t>avverkningsanmälan</t>
        </is>
      </c>
      <c r="C198" t="inlineStr">
        <is>
          <t>Föryngringsavverkning</t>
        </is>
      </c>
      <c r="D198" s="1" t="n">
        <v>45978</v>
      </c>
      <c r="E198" s="1" t="n">
        <v>46233</v>
      </c>
      <c r="F198" t="inlineStr">
        <is>
          <t>JÖNKÖPINGS LÄN</t>
        </is>
      </c>
      <c r="G198" t="inlineStr">
        <is>
          <t>VAGGERYD</t>
        </is>
      </c>
      <c r="I198" t="n">
        <v>4.5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57002-2025</t>
        </is>
      </c>
      <c r="B199" t="inlineStr">
        <is>
          <t>avverkningsanmälan</t>
        </is>
      </c>
      <c r="C199" t="inlineStr">
        <is>
          <t>Avverkning för annat ändamål</t>
        </is>
      </c>
      <c r="D199" s="1" t="n">
        <v>45978</v>
      </c>
      <c r="E199" s="1" t="n">
        <v>46233</v>
      </c>
      <c r="F199" t="inlineStr">
        <is>
          <t>JÖNKÖPINGS LÄN</t>
        </is>
      </c>
      <c r="G199" t="inlineStr">
        <is>
          <t>VAGGERYD</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56546-2025</t>
        </is>
      </c>
      <c r="B200" t="inlineStr">
        <is>
          <t>avverkningsanmälan</t>
        </is>
      </c>
      <c r="C200" t="inlineStr">
        <is>
          <t>Föryngringsavverkning</t>
        </is>
      </c>
      <c r="D200" s="1" t="n">
        <v>45975</v>
      </c>
      <c r="E200" s="1" t="n">
        <v>46233</v>
      </c>
      <c r="F200" t="inlineStr">
        <is>
          <t>JÖNKÖPINGS LÄN</t>
        </is>
      </c>
      <c r="G200" t="inlineStr">
        <is>
          <t>VAGGERYD</t>
        </is>
      </c>
      <c r="H200" t="inlineStr">
        <is>
          <t>Sveaskog</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52048-2023</t>
        </is>
      </c>
      <c r="B201" t="inlineStr">
        <is>
          <t>avverkningsanmälan</t>
        </is>
      </c>
      <c r="C201" t="inlineStr">
        <is>
          <t>Föryngringsavverkning</t>
        </is>
      </c>
      <c r="D201" s="1" t="n">
        <v>45223</v>
      </c>
      <c r="E201" s="1" t="n">
        <v>46233</v>
      </c>
      <c r="F201" t="inlineStr">
        <is>
          <t>JÖNKÖPINGS LÄN</t>
        </is>
      </c>
      <c r="G201" t="inlineStr">
        <is>
          <t>VAGGERYD</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56991-2025</t>
        </is>
      </c>
      <c r="B202" t="inlineStr">
        <is>
          <t>avverkningsanmälan</t>
        </is>
      </c>
      <c r="C202" t="inlineStr">
        <is>
          <t>Föryngringsavverkning</t>
        </is>
      </c>
      <c r="D202" s="1" t="n">
        <v>45978</v>
      </c>
      <c r="E202" s="1" t="n">
        <v>46233</v>
      </c>
      <c r="F202" t="inlineStr">
        <is>
          <t>JÖNKÖPINGS LÄN</t>
        </is>
      </c>
      <c r="G202" t="inlineStr">
        <is>
          <t>VAGGERYD</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47924-2022</t>
        </is>
      </c>
      <c r="B203" t="inlineStr">
        <is>
          <t>avverkningsanmälan</t>
        </is>
      </c>
      <c r="C203" t="inlineStr">
        <is>
          <t>Föryngringsavverkning</t>
        </is>
      </c>
      <c r="D203" s="1" t="n">
        <v>44855</v>
      </c>
      <c r="E203" s="1" t="n">
        <v>46233</v>
      </c>
      <c r="F203" t="inlineStr">
        <is>
          <t>JÖNKÖPINGS LÄN</t>
        </is>
      </c>
      <c r="G203" t="inlineStr">
        <is>
          <t>VAGGERYD</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10638-2023</t>
        </is>
      </c>
      <c r="B204" t="inlineStr">
        <is>
          <t>avverkningsanmälan</t>
        </is>
      </c>
      <c r="C204" t="inlineStr">
        <is>
          <t>Föryngringsavverkning</t>
        </is>
      </c>
      <c r="D204" s="1" t="n">
        <v>44988</v>
      </c>
      <c r="E204" s="1" t="n">
        <v>46233</v>
      </c>
      <c r="F204" t="inlineStr">
        <is>
          <t>JÖNKÖPINGS LÄN</t>
        </is>
      </c>
      <c r="G204" t="inlineStr">
        <is>
          <t>VAGGERYD</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16625-2023</t>
        </is>
      </c>
      <c r="B205" t="inlineStr">
        <is>
          <t>avverkningsanmälan</t>
        </is>
      </c>
      <c r="C205" t="inlineStr">
        <is>
          <t>Föryngringsavverkning</t>
        </is>
      </c>
      <c r="D205" s="1" t="n">
        <v>45030</v>
      </c>
      <c r="E205" s="1" t="n">
        <v>46233</v>
      </c>
      <c r="F205" t="inlineStr">
        <is>
          <t>JÖNKÖPINGS LÄN</t>
        </is>
      </c>
      <c r="G205" t="inlineStr">
        <is>
          <t>VAGGERYD</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55246-2023</t>
        </is>
      </c>
      <c r="B206" t="inlineStr">
        <is>
          <t>avverkningsanmälan</t>
        </is>
      </c>
      <c r="C206" t="inlineStr">
        <is>
          <t>Föryngringsavverkning</t>
        </is>
      </c>
      <c r="D206" s="1" t="n">
        <v>45237</v>
      </c>
      <c r="E206" s="1" t="n">
        <v>46233</v>
      </c>
      <c r="F206" t="inlineStr">
        <is>
          <t>JÖNKÖPINGS LÄN</t>
        </is>
      </c>
      <c r="G206" t="inlineStr">
        <is>
          <t>VAGGERYD</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57006-2025</t>
        </is>
      </c>
      <c r="B207" t="inlineStr">
        <is>
          <t>avverkningsanmälan</t>
        </is>
      </c>
      <c r="C207" t="inlineStr">
        <is>
          <t>Föryngringsavverkning</t>
        </is>
      </c>
      <c r="D207" s="1" t="n">
        <v>45978</v>
      </c>
      <c r="E207" s="1" t="n">
        <v>46233</v>
      </c>
      <c r="F207" t="inlineStr">
        <is>
          <t>JÖNKÖPINGS LÄN</t>
        </is>
      </c>
      <c r="G207" t="inlineStr">
        <is>
          <t>VAGGERYD</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57566-2025</t>
        </is>
      </c>
      <c r="B208" t="inlineStr">
        <is>
          <t>avverkningsanmälan</t>
        </is>
      </c>
      <c r="C208" t="inlineStr">
        <is>
          <t>Föryngringsavverkning</t>
        </is>
      </c>
      <c r="D208" s="1" t="n">
        <v>45980</v>
      </c>
      <c r="E208" s="1" t="n">
        <v>46233</v>
      </c>
      <c r="F208" t="inlineStr">
        <is>
          <t>JÖNKÖPINGS LÄN</t>
        </is>
      </c>
      <c r="G208" t="inlineStr">
        <is>
          <t>VAGGERYD</t>
        </is>
      </c>
      <c r="I208" t="n">
        <v>3.7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39366-2023</t>
        </is>
      </c>
      <c r="B209" t="inlineStr">
        <is>
          <t>avverkningsanmälan</t>
        </is>
      </c>
      <c r="C209" t="inlineStr">
        <is>
          <t>Föryngringsavverkning</t>
        </is>
      </c>
      <c r="D209" s="1" t="n">
        <v>45166</v>
      </c>
      <c r="E209" s="1" t="n">
        <v>46233</v>
      </c>
      <c r="F209" t="inlineStr">
        <is>
          <t>JÖNKÖPINGS LÄN</t>
        </is>
      </c>
      <c r="G209" t="inlineStr">
        <is>
          <t>VAGGERYD</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15920-2025</t>
        </is>
      </c>
      <c r="B210" t="inlineStr">
        <is>
          <t>avverkningsanmälan</t>
        </is>
      </c>
      <c r="C210" t="inlineStr">
        <is>
          <t>Föryngringsavverkning</t>
        </is>
      </c>
      <c r="D210" s="1" t="n">
        <v>45749</v>
      </c>
      <c r="E210" s="1" t="n">
        <v>46233</v>
      </c>
      <c r="F210" t="inlineStr">
        <is>
          <t>JÖNKÖPINGS LÄN</t>
        </is>
      </c>
      <c r="G210" t="inlineStr">
        <is>
          <t>VAGGERYD</t>
        </is>
      </c>
      <c r="H210" t="inlineStr">
        <is>
          <t>Sveaskog</t>
        </is>
      </c>
      <c r="I210" t="n">
        <v>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11652-2026</t>
        </is>
      </c>
      <c r="B211" t="inlineStr">
        <is>
          <t>avverkningsanmälan</t>
        </is>
      </c>
      <c r="C211" t="inlineStr">
        <is>
          <t>Föryngringsavverkning</t>
        </is>
      </c>
      <c r="D211" s="1" t="n">
        <v>46084</v>
      </c>
      <c r="E211" s="1" t="n">
        <v>46233</v>
      </c>
      <c r="F211" t="inlineStr">
        <is>
          <t>JÖNKÖPINGS LÄN</t>
        </is>
      </c>
      <c r="G211" t="inlineStr">
        <is>
          <t>VAGGERYD</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11657-2026</t>
        </is>
      </c>
      <c r="B212" t="inlineStr">
        <is>
          <t>avverkningsanmälan</t>
        </is>
      </c>
      <c r="C212" t="inlineStr">
        <is>
          <t>Föryngringsavverkning</t>
        </is>
      </c>
      <c r="D212" s="1" t="n">
        <v>46084</v>
      </c>
      <c r="E212" s="1" t="n">
        <v>46233</v>
      </c>
      <c r="F212" t="inlineStr">
        <is>
          <t>JÖNKÖPINGS LÄN</t>
        </is>
      </c>
      <c r="G212" t="inlineStr">
        <is>
          <t>VAGGERYD</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11663-2026</t>
        </is>
      </c>
      <c r="B213" t="inlineStr">
        <is>
          <t>avverkningsanmälan</t>
        </is>
      </c>
      <c r="C213" t="inlineStr">
        <is>
          <t>Föryngringsavverkning</t>
        </is>
      </c>
      <c r="D213" s="1" t="n">
        <v>46084</v>
      </c>
      <c r="E213" s="1" t="n">
        <v>46233</v>
      </c>
      <c r="F213" t="inlineStr">
        <is>
          <t>JÖNKÖPINGS LÄN</t>
        </is>
      </c>
      <c r="G213" t="inlineStr">
        <is>
          <t>VAGGERYD</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11660-2026</t>
        </is>
      </c>
      <c r="B214" t="inlineStr">
        <is>
          <t>avverkningsanmälan</t>
        </is>
      </c>
      <c r="C214" t="inlineStr">
        <is>
          <t>Föryngringsavverkning</t>
        </is>
      </c>
      <c r="D214" s="1" t="n">
        <v>46084</v>
      </c>
      <c r="E214" s="1" t="n">
        <v>46233</v>
      </c>
      <c r="F214" t="inlineStr">
        <is>
          <t>JÖNKÖPINGS LÄN</t>
        </is>
      </c>
      <c r="G214" t="inlineStr">
        <is>
          <t>VAGGERYD</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33638-2022</t>
        </is>
      </c>
      <c r="B215" t="inlineStr">
        <is>
          <t>avverkningsanmälan</t>
        </is>
      </c>
      <c r="C215" t="inlineStr">
        <is>
          <t>Föryngringsavverkning</t>
        </is>
      </c>
      <c r="D215" s="1" t="n">
        <v>44789</v>
      </c>
      <c r="E215" s="1" t="n">
        <v>46233</v>
      </c>
      <c r="F215" t="inlineStr">
        <is>
          <t>JÖNKÖPINGS LÄN</t>
        </is>
      </c>
      <c r="G215" t="inlineStr">
        <is>
          <t>VAGGERYD</t>
        </is>
      </c>
      <c r="I215" t="n">
        <v>4.7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67942-2021</t>
        </is>
      </c>
      <c r="B216" t="inlineStr">
        <is>
          <t>avverkningsanmälan</t>
        </is>
      </c>
      <c r="C216" t="inlineStr">
        <is>
          <t>Föryngringsavverkning</t>
        </is>
      </c>
      <c r="D216" s="1" t="n">
        <v>44525</v>
      </c>
      <c r="E216" s="1" t="n">
        <v>46233</v>
      </c>
      <c r="F216" t="inlineStr">
        <is>
          <t>JÖNKÖPINGS LÄN</t>
        </is>
      </c>
      <c r="G216" t="inlineStr">
        <is>
          <t>VAGGERYD</t>
        </is>
      </c>
      <c r="H216" t="inlineStr">
        <is>
          <t>Sveaskog</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12129-2026</t>
        </is>
      </c>
      <c r="B217" t="inlineStr">
        <is>
          <t>avverkningsanmälan</t>
        </is>
      </c>
      <c r="C217" t="inlineStr">
        <is>
          <t>Föryngringsavverkning</t>
        </is>
      </c>
      <c r="D217" s="1" t="n">
        <v>46086</v>
      </c>
      <c r="E217" s="1" t="n">
        <v>46233</v>
      </c>
      <c r="F217" t="inlineStr">
        <is>
          <t>JÖNKÖPINGS LÄN</t>
        </is>
      </c>
      <c r="G217" t="inlineStr">
        <is>
          <t>VAGGERYD</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12060-2026</t>
        </is>
      </c>
      <c r="B218" t="inlineStr">
        <is>
          <t>avverkningsanmälan</t>
        </is>
      </c>
      <c r="C218" t="inlineStr">
        <is>
          <t>Föryngringsavverkning</t>
        </is>
      </c>
      <c r="D218" s="1" t="n">
        <v>46086</v>
      </c>
      <c r="E218" s="1" t="n">
        <v>46233</v>
      </c>
      <c r="F218" t="inlineStr">
        <is>
          <t>JÖNKÖPINGS LÄN</t>
        </is>
      </c>
      <c r="G218" t="inlineStr">
        <is>
          <t>VAGGERYD</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10590-2023</t>
        </is>
      </c>
      <c r="B219" t="inlineStr">
        <is>
          <t>avverkningsanmälan</t>
        </is>
      </c>
      <c r="C219" t="inlineStr">
        <is>
          <t>Föryngringsavverkning</t>
        </is>
      </c>
      <c r="D219" s="1" t="n">
        <v>44988</v>
      </c>
      <c r="E219" s="1" t="n">
        <v>46233</v>
      </c>
      <c r="F219" t="inlineStr">
        <is>
          <t>JÖNKÖPINGS LÄN</t>
        </is>
      </c>
      <c r="G219" t="inlineStr">
        <is>
          <t>VAGGERYD</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12078-2026</t>
        </is>
      </c>
      <c r="B220" t="inlineStr">
        <is>
          <t>avverkningsanmälan</t>
        </is>
      </c>
      <c r="C220" t="inlineStr">
        <is>
          <t>Föryngringsavverkning</t>
        </is>
      </c>
      <c r="D220" s="1" t="n">
        <v>46086</v>
      </c>
      <c r="E220" s="1" t="n">
        <v>46233</v>
      </c>
      <c r="F220" t="inlineStr">
        <is>
          <t>JÖNKÖPINGS LÄN</t>
        </is>
      </c>
      <c r="G220" t="inlineStr">
        <is>
          <t>VAGGERYD</t>
        </is>
      </c>
      <c r="I220" t="n">
        <v>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59177-2025</t>
        </is>
      </c>
      <c r="B221" t="inlineStr">
        <is>
          <t>avverkningsanmälan</t>
        </is>
      </c>
      <c r="C221" t="inlineStr">
        <is>
          <t>Föryngringsavverkning</t>
        </is>
      </c>
      <c r="D221" s="1" t="n">
        <v>45988</v>
      </c>
      <c r="E221" s="1" t="n">
        <v>46233</v>
      </c>
      <c r="F221" t="inlineStr">
        <is>
          <t>JÖNKÖPINGS LÄN</t>
        </is>
      </c>
      <c r="G221" t="inlineStr">
        <is>
          <t>VAGGERYD</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53356-2022</t>
        </is>
      </c>
      <c r="B222" t="inlineStr">
        <is>
          <t>avverkningsanmälan</t>
        </is>
      </c>
      <c r="C222" t="inlineStr">
        <is>
          <t>Föryngringsavverkning</t>
        </is>
      </c>
      <c r="D222" s="1" t="n">
        <v>44879</v>
      </c>
      <c r="E222" s="1" t="n">
        <v>46233</v>
      </c>
      <c r="F222" t="inlineStr">
        <is>
          <t>JÖNKÖPINGS LÄN</t>
        </is>
      </c>
      <c r="G222" t="inlineStr">
        <is>
          <t>VAGGERYD</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22295-2023</t>
        </is>
      </c>
      <c r="B223" t="inlineStr">
        <is>
          <t>avverkningsanmälan</t>
        </is>
      </c>
      <c r="C223" t="inlineStr">
        <is>
          <t>Föryngringsavverkning</t>
        </is>
      </c>
      <c r="D223" s="1" t="n">
        <v>45070</v>
      </c>
      <c r="E223" s="1" t="n">
        <v>46233</v>
      </c>
      <c r="F223" t="inlineStr">
        <is>
          <t>JÖNKÖPINGS LÄN</t>
        </is>
      </c>
      <c r="G223" t="inlineStr">
        <is>
          <t>VAGGERYD</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16091-2025</t>
        </is>
      </c>
      <c r="B224" t="inlineStr">
        <is>
          <t>avverkningsanmälan</t>
        </is>
      </c>
      <c r="C224" t="inlineStr">
        <is>
          <t>Föryngringsavverkning</t>
        </is>
      </c>
      <c r="D224" s="1" t="n">
        <v>45749</v>
      </c>
      <c r="E224" s="1" t="n">
        <v>46233</v>
      </c>
      <c r="F224" t="inlineStr">
        <is>
          <t>JÖNKÖPINGS LÄN</t>
        </is>
      </c>
      <c r="G224" t="inlineStr">
        <is>
          <t>VAGGERYD</t>
        </is>
      </c>
      <c r="H224" t="inlineStr">
        <is>
          <t>Sveaskog</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23688-2023</t>
        </is>
      </c>
      <c r="B225" t="inlineStr">
        <is>
          <t>avverkningsanmälan</t>
        </is>
      </c>
      <c r="C225" t="inlineStr">
        <is>
          <t>Föryngringsavverkning</t>
        </is>
      </c>
      <c r="D225" s="1" t="n">
        <v>45077</v>
      </c>
      <c r="E225" s="1" t="n">
        <v>46233</v>
      </c>
      <c r="F225" t="inlineStr">
        <is>
          <t>JÖNKÖPINGS LÄN</t>
        </is>
      </c>
      <c r="G225" t="inlineStr">
        <is>
          <t>VAGGERYD</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60309-2022</t>
        </is>
      </c>
      <c r="B226" t="inlineStr">
        <is>
          <t>avverkningsanmälan</t>
        </is>
      </c>
      <c r="C226" t="inlineStr">
        <is>
          <t>Föryngringsavverkning</t>
        </is>
      </c>
      <c r="D226" s="1" t="n">
        <v>44910</v>
      </c>
      <c r="E226" s="1" t="n">
        <v>46233</v>
      </c>
      <c r="F226" t="inlineStr">
        <is>
          <t>JÖNKÖPINGS LÄN</t>
        </is>
      </c>
      <c r="G226" t="inlineStr">
        <is>
          <t>VAGGERYD</t>
        </is>
      </c>
      <c r="H226" t="inlineStr">
        <is>
          <t>Sveaskog</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62343-2022</t>
        </is>
      </c>
      <c r="B227" t="inlineStr">
        <is>
          <t>avverkningsanmälan</t>
        </is>
      </c>
      <c r="C227" t="inlineStr">
        <is>
          <t>Föryngringsavverkning</t>
        </is>
      </c>
      <c r="D227" s="1" t="n">
        <v>44916</v>
      </c>
      <c r="E227" s="1" t="n">
        <v>46233</v>
      </c>
      <c r="F227" t="inlineStr">
        <is>
          <t>JÖNKÖPINGS LÄN</t>
        </is>
      </c>
      <c r="G227" t="inlineStr">
        <is>
          <t>VAGGERYD</t>
        </is>
      </c>
      <c r="H227" t="inlineStr">
        <is>
          <t>Övriga Aktiebolag</t>
        </is>
      </c>
      <c r="I227" t="n">
        <v>7.7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49885-2023</t>
        </is>
      </c>
      <c r="B228" t="inlineStr">
        <is>
          <t>avverkningsanmälan</t>
        </is>
      </c>
      <c r="C228" t="inlineStr">
        <is>
          <t>Föryngringsavverkning</t>
        </is>
      </c>
      <c r="D228" s="1" t="n">
        <v>45213</v>
      </c>
      <c r="E228" s="1" t="n">
        <v>46233</v>
      </c>
      <c r="F228" t="inlineStr">
        <is>
          <t>JÖNKÖPINGS LÄN</t>
        </is>
      </c>
      <c r="G228" t="inlineStr">
        <is>
          <t>VAGGERYD</t>
        </is>
      </c>
      <c r="I228" t="n">
        <v>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60859-2025</t>
        </is>
      </c>
      <c r="B229" t="inlineStr">
        <is>
          <t>avverkningsanmälan</t>
        </is>
      </c>
      <c r="C229" t="inlineStr">
        <is>
          <t>Föryngringsavverkning</t>
        </is>
      </c>
      <c r="D229" s="1" t="n">
        <v>45999</v>
      </c>
      <c r="E229" s="1" t="n">
        <v>46233</v>
      </c>
      <c r="F229" t="inlineStr">
        <is>
          <t>JÖNKÖPINGS LÄN</t>
        </is>
      </c>
      <c r="G229" t="inlineStr">
        <is>
          <t>VAGGERYD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61633-2025</t>
        </is>
      </c>
      <c r="B230" t="inlineStr">
        <is>
          <t>avverkningsanmälan</t>
        </is>
      </c>
      <c r="C230" t="inlineStr">
        <is>
          <t>Föryngringsavverkning</t>
        </is>
      </c>
      <c r="D230" s="1" t="n">
        <v>46002</v>
      </c>
      <c r="E230" s="1" t="n">
        <v>46233</v>
      </c>
      <c r="F230" t="inlineStr">
        <is>
          <t>JÖNKÖPINGS LÄN</t>
        </is>
      </c>
      <c r="G230" t="inlineStr">
        <is>
          <t>VAGGERYD</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62040-2025</t>
        </is>
      </c>
      <c r="B231" t="inlineStr">
        <is>
          <t>avverkningsanmälan</t>
        </is>
      </c>
      <c r="C231" t="inlineStr">
        <is>
          <t>Föryngringsavverkning</t>
        </is>
      </c>
      <c r="D231" s="1" t="n">
        <v>46005</v>
      </c>
      <c r="E231" s="1" t="n">
        <v>46233</v>
      </c>
      <c r="F231" t="inlineStr">
        <is>
          <t>JÖNKÖPINGS LÄN</t>
        </is>
      </c>
      <c r="G231" t="inlineStr">
        <is>
          <t>VAGGERYD</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12456-2023</t>
        </is>
      </c>
      <c r="B232" t="inlineStr">
        <is>
          <t>avverkningsanmälan</t>
        </is>
      </c>
      <c r="C232" t="inlineStr">
        <is>
          <t>Föryngringsavverkning</t>
        </is>
      </c>
      <c r="D232" s="1" t="n">
        <v>44999</v>
      </c>
      <c r="E232" s="1" t="n">
        <v>46233</v>
      </c>
      <c r="F232" t="inlineStr">
        <is>
          <t>JÖNKÖPINGS LÄN</t>
        </is>
      </c>
      <c r="G232" t="inlineStr">
        <is>
          <t>VAGGERYD</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14820-2026</t>
        </is>
      </c>
      <c r="B233" t="inlineStr">
        <is>
          <t>avverkningsanmälan</t>
        </is>
      </c>
      <c r="C233" t="inlineStr">
        <is>
          <t>Föryngringsavverkning</t>
        </is>
      </c>
      <c r="D233" s="1" t="n">
        <v>46104</v>
      </c>
      <c r="E233" s="1" t="n">
        <v>46233</v>
      </c>
      <c r="F233" t="inlineStr">
        <is>
          <t>JÖNKÖPINGS LÄN</t>
        </is>
      </c>
      <c r="G233" t="inlineStr">
        <is>
          <t>VAGGERYD</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15135-2026</t>
        </is>
      </c>
      <c r="B234" t="inlineStr">
        <is>
          <t>avverkningsanmälan</t>
        </is>
      </c>
      <c r="C234" t="inlineStr">
        <is>
          <t>Föryngringsavverkning</t>
        </is>
      </c>
      <c r="D234" s="1" t="n">
        <v>46105</v>
      </c>
      <c r="E234" s="1" t="n">
        <v>46233</v>
      </c>
      <c r="F234" t="inlineStr">
        <is>
          <t>JÖNKÖPINGS LÄN</t>
        </is>
      </c>
      <c r="G234" t="inlineStr">
        <is>
          <t>VAGGERYD</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62879-2025</t>
        </is>
      </c>
      <c r="B235" t="inlineStr">
        <is>
          <t>avverkningsanmälan</t>
        </is>
      </c>
      <c r="C235" t="inlineStr">
        <is>
          <t>Föryngringsavverkning</t>
        </is>
      </c>
      <c r="D235" s="1" t="n">
        <v>46008</v>
      </c>
      <c r="E235" s="1" t="n">
        <v>46233</v>
      </c>
      <c r="F235" t="inlineStr">
        <is>
          <t>JÖNKÖPINGS LÄN</t>
        </is>
      </c>
      <c r="G235" t="inlineStr">
        <is>
          <t>VAGGERYD</t>
        </is>
      </c>
      <c r="H235" t="inlineStr">
        <is>
          <t>Sveaskog</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51944-2022</t>
        </is>
      </c>
      <c r="B236" t="inlineStr">
        <is>
          <t>avverkningsanmälan</t>
        </is>
      </c>
      <c r="C236" t="inlineStr">
        <is>
          <t>Föryngringsavverkning</t>
        </is>
      </c>
      <c r="D236" s="1" t="n">
        <v>44868</v>
      </c>
      <c r="E236" s="1" t="n">
        <v>46233</v>
      </c>
      <c r="F236" t="inlineStr">
        <is>
          <t>JÖNKÖPINGS LÄN</t>
        </is>
      </c>
      <c r="G236" t="inlineStr">
        <is>
          <t>VAGGERYD</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27214-2023</t>
        </is>
      </c>
      <c r="B237" t="inlineStr">
        <is>
          <t>avverkningsanmälan</t>
        </is>
      </c>
      <c r="C237" t="inlineStr">
        <is>
          <t>Föryngringsavverkning</t>
        </is>
      </c>
      <c r="D237" s="1" t="n">
        <v>45096</v>
      </c>
      <c r="E237" s="1" t="n">
        <v>46233</v>
      </c>
      <c r="F237" t="inlineStr">
        <is>
          <t>JÖNKÖPINGS LÄN</t>
        </is>
      </c>
      <c r="G237" t="inlineStr">
        <is>
          <t>VAGGERYD</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63618-2025</t>
        </is>
      </c>
      <c r="B238" t="inlineStr">
        <is>
          <t>avverkningsanmälan</t>
        </is>
      </c>
      <c r="C238" t="inlineStr">
        <is>
          <t>Föryngringsavverkning</t>
        </is>
      </c>
      <c r="D238" s="1" t="n">
        <v>46014</v>
      </c>
      <c r="E238" s="1" t="n">
        <v>46233</v>
      </c>
      <c r="F238" t="inlineStr">
        <is>
          <t>JÖNKÖPINGS LÄN</t>
        </is>
      </c>
      <c r="G238" t="inlineStr">
        <is>
          <t>VAGGERYD</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58111-2022</t>
        </is>
      </c>
      <c r="B239" t="inlineStr">
        <is>
          <t>avverkningsanmälan</t>
        </is>
      </c>
      <c r="C239" t="inlineStr">
        <is>
          <t>Föryngringsavverkning</t>
        </is>
      </c>
      <c r="D239" s="1" t="n">
        <v>44900</v>
      </c>
      <c r="E239" s="1" t="n">
        <v>46233</v>
      </c>
      <c r="F239" t="inlineStr">
        <is>
          <t>JÖNKÖPINGS LÄN</t>
        </is>
      </c>
      <c r="G239" t="inlineStr">
        <is>
          <t>VAGGERYD</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5489-2023</t>
        </is>
      </c>
      <c r="B240" t="inlineStr">
        <is>
          <t>avverkningsanmälan</t>
        </is>
      </c>
      <c r="C240" t="inlineStr">
        <is>
          <t>Avverkning för annat ändamål</t>
        </is>
      </c>
      <c r="D240" s="1" t="n">
        <v>44960</v>
      </c>
      <c r="E240" s="1" t="n">
        <v>46233</v>
      </c>
      <c r="F240" t="inlineStr">
        <is>
          <t>JÖNKÖPINGS LÄN</t>
        </is>
      </c>
      <c r="G240" t="inlineStr">
        <is>
          <t>VAGGERYD</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27427-2023</t>
        </is>
      </c>
      <c r="B241" t="inlineStr">
        <is>
          <t>avverkningsanmälan</t>
        </is>
      </c>
      <c r="C241" t="inlineStr">
        <is>
          <t>Avverkning för annat ändamål</t>
        </is>
      </c>
      <c r="D241" s="1" t="n">
        <v>45097</v>
      </c>
      <c r="E241" s="1" t="n">
        <v>46233</v>
      </c>
      <c r="F241" t="inlineStr">
        <is>
          <t>JÖNKÖPINGS LÄN</t>
        </is>
      </c>
      <c r="G241" t="inlineStr">
        <is>
          <t>VAGGERYD</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612-2026</t>
        </is>
      </c>
      <c r="B242" t="inlineStr">
        <is>
          <t>avverkningsanmälan</t>
        </is>
      </c>
      <c r="C242" t="inlineStr">
        <is>
          <t>Föryngringsavverkning</t>
        </is>
      </c>
      <c r="D242" s="1" t="n">
        <v>46029</v>
      </c>
      <c r="E242" s="1" t="n">
        <v>46233</v>
      </c>
      <c r="F242" t="inlineStr">
        <is>
          <t>JÖNKÖPINGS LÄN</t>
        </is>
      </c>
      <c r="G242" t="inlineStr">
        <is>
          <t>VAGGERYD</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18250-2023</t>
        </is>
      </c>
      <c r="B243" t="inlineStr">
        <is>
          <t>avverkningsanmälan</t>
        </is>
      </c>
      <c r="C243" t="inlineStr">
        <is>
          <t>Föryngringsavverkning</t>
        </is>
      </c>
      <c r="D243" s="1" t="n">
        <v>45040</v>
      </c>
      <c r="E243" s="1" t="n">
        <v>46233</v>
      </c>
      <c r="F243" t="inlineStr">
        <is>
          <t>JÖNKÖPINGS LÄN</t>
        </is>
      </c>
      <c r="G243" t="inlineStr">
        <is>
          <t>VAGGERYD</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1397-2026</t>
        </is>
      </c>
      <c r="B244" t="inlineStr">
        <is>
          <t>avverkningsanmälan</t>
        </is>
      </c>
      <c r="C244" t="inlineStr">
        <is>
          <t>Avverkning för att bevara och utveckla /försöksver</t>
        </is>
      </c>
      <c r="D244" s="1" t="n">
        <v>46031</v>
      </c>
      <c r="E244" s="1" t="n">
        <v>46233</v>
      </c>
      <c r="F244" t="inlineStr">
        <is>
          <t>JÖNKÖPINGS LÄN</t>
        </is>
      </c>
      <c r="G244" t="inlineStr">
        <is>
          <t>VAGGERYD</t>
        </is>
      </c>
      <c r="H244" t="inlineStr">
        <is>
          <t>Sveaskog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49128-2021</t>
        </is>
      </c>
      <c r="B245" t="inlineStr">
        <is>
          <t>avverkningsanmälan</t>
        </is>
      </c>
      <c r="C245" t="inlineStr">
        <is>
          <t>Föryngringsavverkning</t>
        </is>
      </c>
      <c r="D245" s="1" t="n">
        <v>44453</v>
      </c>
      <c r="E245" s="1" t="n">
        <v>46233</v>
      </c>
      <c r="F245" t="inlineStr">
        <is>
          <t>JÖNKÖPINGS LÄN</t>
        </is>
      </c>
      <c r="G245" t="inlineStr">
        <is>
          <t>VAGGERYD</t>
        </is>
      </c>
      <c r="I245" t="n">
        <v>6.7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1477-2026</t>
        </is>
      </c>
      <c r="B246" t="inlineStr">
        <is>
          <t>avverkningsanmälan</t>
        </is>
      </c>
      <c r="C246" t="inlineStr">
        <is>
          <t>Föryngringsavverkning</t>
        </is>
      </c>
      <c r="D246" s="1" t="n">
        <v>46033</v>
      </c>
      <c r="E246" s="1" t="n">
        <v>46233</v>
      </c>
      <c r="F246" t="inlineStr">
        <is>
          <t>JÖNKÖPINGS LÄN</t>
        </is>
      </c>
      <c r="G246" t="inlineStr">
        <is>
          <t>VAGGERYD</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22742-2024</t>
        </is>
      </c>
      <c r="B247" t="inlineStr">
        <is>
          <t>avverkningsanmälan</t>
        </is>
      </c>
      <c r="C247" t="inlineStr">
        <is>
          <t>Föryngringsavverkning</t>
        </is>
      </c>
      <c r="D247" s="1" t="n">
        <v>45448</v>
      </c>
      <c r="E247" s="1" t="n">
        <v>46233</v>
      </c>
      <c r="F247" t="inlineStr">
        <is>
          <t>JÖNKÖPINGS LÄN</t>
        </is>
      </c>
      <c r="G247" t="inlineStr">
        <is>
          <t>VAGGERYD</t>
        </is>
      </c>
      <c r="I247" t="n">
        <v>9.5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5318-2024</t>
        </is>
      </c>
      <c r="B248" t="inlineStr">
        <is>
          <t>avverkningsanmälan</t>
        </is>
      </c>
      <c r="C248" t="inlineStr">
        <is>
          <t>Föryngringsavverkning</t>
        </is>
      </c>
      <c r="D248" s="1" t="n">
        <v>45330</v>
      </c>
      <c r="E248" s="1" t="n">
        <v>46233</v>
      </c>
      <c r="F248" t="inlineStr">
        <is>
          <t>JÖNKÖPINGS LÄN</t>
        </is>
      </c>
      <c r="G248" t="inlineStr">
        <is>
          <t>VAGGERYD</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5319-2024</t>
        </is>
      </c>
      <c r="B249" t="inlineStr">
        <is>
          <t>avverkningsanmälan</t>
        </is>
      </c>
      <c r="C249" t="inlineStr">
        <is>
          <t>Föryngringsavverkning</t>
        </is>
      </c>
      <c r="D249" s="1" t="n">
        <v>45330</v>
      </c>
      <c r="E249" s="1" t="n">
        <v>46233</v>
      </c>
      <c r="F249" t="inlineStr">
        <is>
          <t>JÖNKÖPINGS LÄN</t>
        </is>
      </c>
      <c r="G249" t="inlineStr">
        <is>
          <t>VAGGERYD</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16915-2026</t>
        </is>
      </c>
      <c r="B250" t="inlineStr">
        <is>
          <t>avverkningsanmälan</t>
        </is>
      </c>
      <c r="C250" t="inlineStr">
        <is>
          <t>Föryngringsavverkning</t>
        </is>
      </c>
      <c r="D250" s="1" t="n">
        <v>46113</v>
      </c>
      <c r="E250" s="1" t="n">
        <v>46233</v>
      </c>
      <c r="F250" t="inlineStr">
        <is>
          <t>JÖNKÖPINGS LÄN</t>
        </is>
      </c>
      <c r="G250" t="inlineStr">
        <is>
          <t>VAGGERYD</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19793-2023</t>
        </is>
      </c>
      <c r="B251" t="inlineStr">
        <is>
          <t>avverkningsanmälan</t>
        </is>
      </c>
      <c r="C251" t="inlineStr">
        <is>
          <t>Föryngringsavverkning</t>
        </is>
      </c>
      <c r="D251" s="1" t="n">
        <v>45051</v>
      </c>
      <c r="E251" s="1" t="n">
        <v>46233</v>
      </c>
      <c r="F251" t="inlineStr">
        <is>
          <t>JÖNKÖPINGS LÄN</t>
        </is>
      </c>
      <c r="G251" t="inlineStr">
        <is>
          <t>VAGGERYD</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42830-2023</t>
        </is>
      </c>
      <c r="B252" t="inlineStr">
        <is>
          <t>avverkningsanmälan</t>
        </is>
      </c>
      <c r="C252" t="inlineStr">
        <is>
          <t>Föryngringsavverkning</t>
        </is>
      </c>
      <c r="D252" s="1" t="n">
        <v>45182</v>
      </c>
      <c r="E252" s="1" t="n">
        <v>46233</v>
      </c>
      <c r="F252" t="inlineStr">
        <is>
          <t>JÖNKÖPINGS LÄN</t>
        </is>
      </c>
      <c r="G252" t="inlineStr">
        <is>
          <t>VAGGERYD</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41956-2024</t>
        </is>
      </c>
      <c r="B253" t="inlineStr">
        <is>
          <t>avverkningsanmälan</t>
        </is>
      </c>
      <c r="C253" t="inlineStr">
        <is>
          <t>Föryngringsavverkning</t>
        </is>
      </c>
      <c r="D253" s="1" t="n">
        <v>45561</v>
      </c>
      <c r="E253" s="1" t="n">
        <v>46233</v>
      </c>
      <c r="F253" t="inlineStr">
        <is>
          <t>JÖNKÖPINGS LÄN</t>
        </is>
      </c>
      <c r="G253" t="inlineStr">
        <is>
          <t>VAGGERYD</t>
        </is>
      </c>
      <c r="I253" t="n">
        <v>8.9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18148-2026</t>
        </is>
      </c>
      <c r="B254" t="inlineStr">
        <is>
          <t>avverkningsanmälan</t>
        </is>
      </c>
      <c r="C254" t="inlineStr">
        <is>
          <t>Föryngringsavverkning</t>
        </is>
      </c>
      <c r="D254" s="1" t="n">
        <v>46125</v>
      </c>
      <c r="E254" s="1" t="n">
        <v>46233</v>
      </c>
      <c r="F254" t="inlineStr">
        <is>
          <t>JÖNKÖPINGS LÄN</t>
        </is>
      </c>
      <c r="G254" t="inlineStr">
        <is>
          <t>VAGGERYD</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1162-2023</t>
        </is>
      </c>
      <c r="B255" t="inlineStr">
        <is>
          <t>avverkningsanmälan</t>
        </is>
      </c>
      <c r="C255" t="inlineStr">
        <is>
          <t>Föryngringsavverkning</t>
        </is>
      </c>
      <c r="D255" s="1" t="n">
        <v>44930</v>
      </c>
      <c r="E255" s="1" t="n">
        <v>46233</v>
      </c>
      <c r="F255" t="inlineStr">
        <is>
          <t>JÖNKÖPINGS LÄN</t>
        </is>
      </c>
      <c r="G255" t="inlineStr">
        <is>
          <t>VAGGERYD</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35704-2024</t>
        </is>
      </c>
      <c r="B256" t="inlineStr">
        <is>
          <t>avverkningsanmälan</t>
        </is>
      </c>
      <c r="C256" t="inlineStr">
        <is>
          <t>Föryngringsavverkning</t>
        </is>
      </c>
      <c r="D256" s="1" t="n">
        <v>45532</v>
      </c>
      <c r="E256" s="1" t="n">
        <v>46233</v>
      </c>
      <c r="F256" t="inlineStr">
        <is>
          <t>JÖNKÖPINGS LÄN</t>
        </is>
      </c>
      <c r="G256" t="inlineStr">
        <is>
          <t>VAGGERYD</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51830-2021</t>
        </is>
      </c>
      <c r="B257" t="inlineStr">
        <is>
          <t>avverkningsanmälan</t>
        </is>
      </c>
      <c r="C257" t="inlineStr">
        <is>
          <t>Föryngringsavverkning</t>
        </is>
      </c>
      <c r="D257" s="1" t="n">
        <v>44462</v>
      </c>
      <c r="E257" s="1" t="n">
        <v>46233</v>
      </c>
      <c r="F257" t="inlineStr">
        <is>
          <t>JÖNKÖPINGS LÄN</t>
        </is>
      </c>
      <c r="G257" t="inlineStr">
        <is>
          <t>VAGGERYD</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36564-2023</t>
        </is>
      </c>
      <c r="B258" t="inlineStr">
        <is>
          <t>avverkningsanmälan</t>
        </is>
      </c>
      <c r="C258" t="inlineStr">
        <is>
          <t>Avverkning för annat ändamål</t>
        </is>
      </c>
      <c r="D258" s="1" t="n">
        <v>45152</v>
      </c>
      <c r="E258" s="1" t="n">
        <v>46233</v>
      </c>
      <c r="F258" t="inlineStr">
        <is>
          <t>JÖNKÖPINGS LÄN</t>
        </is>
      </c>
      <c r="G258" t="inlineStr">
        <is>
          <t>VAGGERYD</t>
        </is>
      </c>
      <c r="I258" t="n">
        <v>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36567-2023</t>
        </is>
      </c>
      <c r="B259" t="inlineStr">
        <is>
          <t>avverkningsanmälan</t>
        </is>
      </c>
      <c r="C259" t="inlineStr">
        <is>
          <t>Avverkning för annat ändamål</t>
        </is>
      </c>
      <c r="D259" s="1" t="n">
        <v>45152</v>
      </c>
      <c r="E259" s="1" t="n">
        <v>46233</v>
      </c>
      <c r="F259" t="inlineStr">
        <is>
          <t>JÖNKÖPINGS LÄN</t>
        </is>
      </c>
      <c r="G259" t="inlineStr">
        <is>
          <t>VAGGERYD</t>
        </is>
      </c>
      <c r="I259" t="n">
        <v>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39370-2023</t>
        </is>
      </c>
      <c r="B260" t="inlineStr">
        <is>
          <t>avverkningsanmälan</t>
        </is>
      </c>
      <c r="C260" t="inlineStr">
        <is>
          <t>Föryngringsavverkning</t>
        </is>
      </c>
      <c r="D260" s="1" t="n">
        <v>45162</v>
      </c>
      <c r="E260" s="1" t="n">
        <v>46233</v>
      </c>
      <c r="F260" t="inlineStr">
        <is>
          <t>JÖNKÖPINGS LÄN</t>
        </is>
      </c>
      <c r="G260" t="inlineStr">
        <is>
          <t>VAGGERYD</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26745-2024</t>
        </is>
      </c>
      <c r="B261" t="inlineStr">
        <is>
          <t>avverkningsanmälan</t>
        </is>
      </c>
      <c r="C261" t="inlineStr">
        <is>
          <t>Föryngringsavverkning</t>
        </is>
      </c>
      <c r="D261" s="1" t="n">
        <v>45470</v>
      </c>
      <c r="E261" s="1" t="n">
        <v>46233</v>
      </c>
      <c r="F261" t="inlineStr">
        <is>
          <t>JÖNKÖPINGS LÄN</t>
        </is>
      </c>
      <c r="G261" t="inlineStr">
        <is>
          <t>VAGGERYD</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18803-2026</t>
        </is>
      </c>
      <c r="B262" t="inlineStr">
        <is>
          <t>avverkningsanmälan</t>
        </is>
      </c>
      <c r="C262" t="inlineStr">
        <is>
          <t>Föryngringsavverkning</t>
        </is>
      </c>
      <c r="D262" s="1" t="n">
        <v>46128</v>
      </c>
      <c r="E262" s="1" t="n">
        <v>46233</v>
      </c>
      <c r="F262" t="inlineStr">
        <is>
          <t>JÖNKÖPINGS LÄN</t>
        </is>
      </c>
      <c r="G262" t="inlineStr">
        <is>
          <t>VAGGERYD</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28466-2024</t>
        </is>
      </c>
      <c r="B263" t="inlineStr">
        <is>
          <t>avverkningsanmälan</t>
        </is>
      </c>
      <c r="C263" t="inlineStr">
        <is>
          <t>Föryngringsavverkning</t>
        </is>
      </c>
      <c r="D263" s="1" t="n">
        <v>45477</v>
      </c>
      <c r="E263" s="1" t="n">
        <v>46233</v>
      </c>
      <c r="F263" t="inlineStr">
        <is>
          <t>JÖNKÖPINGS LÄN</t>
        </is>
      </c>
      <c r="G263" t="inlineStr">
        <is>
          <t>VAGGERYD</t>
        </is>
      </c>
      <c r="H263" t="inlineStr">
        <is>
          <t>Sveaskog</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28470-2024</t>
        </is>
      </c>
      <c r="B264" t="inlineStr">
        <is>
          <t>avverkningsanmälan</t>
        </is>
      </c>
      <c r="C264" t="inlineStr">
        <is>
          <t>Föryngringsavverkning</t>
        </is>
      </c>
      <c r="D264" s="1" t="n">
        <v>45477</v>
      </c>
      <c r="E264" s="1" t="n">
        <v>46233</v>
      </c>
      <c r="F264" t="inlineStr">
        <is>
          <t>JÖNKÖPINGS LÄN</t>
        </is>
      </c>
      <c r="G264" t="inlineStr">
        <is>
          <t>VAGGERYD</t>
        </is>
      </c>
      <c r="H264" t="inlineStr">
        <is>
          <t>Sveaskog</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14396-2023</t>
        </is>
      </c>
      <c r="B265" t="inlineStr">
        <is>
          <t>avverkningsanmälan</t>
        </is>
      </c>
      <c r="C265" t="inlineStr">
        <is>
          <t>Föryngringsavverkning</t>
        </is>
      </c>
      <c r="D265" s="1" t="n">
        <v>45012</v>
      </c>
      <c r="E265" s="1" t="n">
        <v>46233</v>
      </c>
      <c r="F265" t="inlineStr">
        <is>
          <t>JÖNKÖPINGS LÄN</t>
        </is>
      </c>
      <c r="G265" t="inlineStr">
        <is>
          <t>VAGGERYD</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58797-2023</t>
        </is>
      </c>
      <c r="B266" t="inlineStr">
        <is>
          <t>avverkningsanmälan</t>
        </is>
      </c>
      <c r="C266" t="inlineStr">
        <is>
          <t>Föryngringsavverkning</t>
        </is>
      </c>
      <c r="D266" s="1" t="n">
        <v>45247</v>
      </c>
      <c r="E266" s="1" t="n">
        <v>46233</v>
      </c>
      <c r="F266" t="inlineStr">
        <is>
          <t>JÖNKÖPINGS LÄN</t>
        </is>
      </c>
      <c r="G266" t="inlineStr">
        <is>
          <t>VAGGERYD</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24993-2023</t>
        </is>
      </c>
      <c r="B267" t="inlineStr">
        <is>
          <t>avverkningsanmälan</t>
        </is>
      </c>
      <c r="C267" t="inlineStr">
        <is>
          <t>Föryngringsavverkning</t>
        </is>
      </c>
      <c r="D267" s="1" t="n">
        <v>45085</v>
      </c>
      <c r="E267" s="1" t="n">
        <v>46233</v>
      </c>
      <c r="F267" t="inlineStr">
        <is>
          <t>JÖNKÖPINGS LÄN</t>
        </is>
      </c>
      <c r="G267" t="inlineStr">
        <is>
          <t>VAGGERYD</t>
        </is>
      </c>
      <c r="H267" t="inlineStr">
        <is>
          <t>Sveaskog</t>
        </is>
      </c>
      <c r="I267" t="n">
        <v>0.2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10586-2023</t>
        </is>
      </c>
      <c r="B268" t="inlineStr">
        <is>
          <t>avverkningsanmälan</t>
        </is>
      </c>
      <c r="C268" t="inlineStr">
        <is>
          <t>Föryngringsavverkning</t>
        </is>
      </c>
      <c r="D268" s="1" t="n">
        <v>44988</v>
      </c>
      <c r="E268" s="1" t="n">
        <v>46233</v>
      </c>
      <c r="F268" t="inlineStr">
        <is>
          <t>JÖNKÖPINGS LÄN</t>
        </is>
      </c>
      <c r="G268" t="inlineStr">
        <is>
          <t>VAGGERYD</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60202-2024</t>
        </is>
      </c>
      <c r="B269" t="inlineStr">
        <is>
          <t>avverkningsanmälan</t>
        </is>
      </c>
      <c r="C269" t="inlineStr">
        <is>
          <t>Föryngringsavverkning</t>
        </is>
      </c>
      <c r="D269" s="1" t="n">
        <v>45642</v>
      </c>
      <c r="E269" s="1" t="n">
        <v>46233</v>
      </c>
      <c r="F269" t="inlineStr">
        <is>
          <t>JÖNKÖPINGS LÄN</t>
        </is>
      </c>
      <c r="G269" t="inlineStr">
        <is>
          <t>VAGGERYD</t>
        </is>
      </c>
      <c r="I269" t="n">
        <v>19.7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19106-2023</t>
        </is>
      </c>
      <c r="B270" t="inlineStr">
        <is>
          <t>avverkningsanmälan</t>
        </is>
      </c>
      <c r="C270" t="inlineStr">
        <is>
          <t>Föryngringsavverkning</t>
        </is>
      </c>
      <c r="D270" s="1" t="n">
        <v>45048</v>
      </c>
      <c r="E270" s="1" t="n">
        <v>46233</v>
      </c>
      <c r="F270" t="inlineStr">
        <is>
          <t>JÖNKÖPINGS LÄN</t>
        </is>
      </c>
      <c r="G270" t="inlineStr">
        <is>
          <t>VAGGERYD</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19117-2023</t>
        </is>
      </c>
      <c r="B271" t="inlineStr">
        <is>
          <t>avverkningsanmälan</t>
        </is>
      </c>
      <c r="C271" t="inlineStr">
        <is>
          <t>Föryngringsavverkning</t>
        </is>
      </c>
      <c r="D271" s="1" t="n">
        <v>45048</v>
      </c>
      <c r="E271" s="1" t="n">
        <v>46233</v>
      </c>
      <c r="F271" t="inlineStr">
        <is>
          <t>JÖNKÖPINGS LÄN</t>
        </is>
      </c>
      <c r="G271" t="inlineStr">
        <is>
          <t>VAGGERYD</t>
        </is>
      </c>
      <c r="I271" t="n">
        <v>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42162-2025</t>
        </is>
      </c>
      <c r="B272" t="inlineStr">
        <is>
          <t>avverkningsanmälan</t>
        </is>
      </c>
      <c r="C272" t="inlineStr">
        <is>
          <t>Föryngringsavverkning</t>
        </is>
      </c>
      <c r="D272" s="1" t="n">
        <v>45904</v>
      </c>
      <c r="E272" s="1" t="n">
        <v>46233</v>
      </c>
      <c r="F272" t="inlineStr">
        <is>
          <t>JÖNKÖPINGS LÄN</t>
        </is>
      </c>
      <c r="G272" t="inlineStr">
        <is>
          <t>VAGGERYD</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6925-2025</t>
        </is>
      </c>
      <c r="B273" t="inlineStr">
        <is>
          <t>avverkningsanmälan</t>
        </is>
      </c>
      <c r="C273" t="inlineStr">
        <is>
          <t>Föryngringsavverkning</t>
        </is>
      </c>
      <c r="D273" s="1" t="n">
        <v>45701</v>
      </c>
      <c r="E273" s="1" t="n">
        <v>46233</v>
      </c>
      <c r="F273" t="inlineStr">
        <is>
          <t>JÖNKÖPINGS LÄN</t>
        </is>
      </c>
      <c r="G273" t="inlineStr">
        <is>
          <t>VAGGERYD</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49674-2023</t>
        </is>
      </c>
      <c r="B274" t="inlineStr">
        <is>
          <t>avverkningsanmälan</t>
        </is>
      </c>
      <c r="C274" t="inlineStr">
        <is>
          <t>Föryngringsavverkning</t>
        </is>
      </c>
      <c r="D274" s="1" t="n">
        <v>45212</v>
      </c>
      <c r="E274" s="1" t="n">
        <v>46233</v>
      </c>
      <c r="F274" t="inlineStr">
        <is>
          <t>JÖNKÖPINGS LÄN</t>
        </is>
      </c>
      <c r="G274" t="inlineStr">
        <is>
          <t>VAGGERYD</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59018-2021</t>
        </is>
      </c>
      <c r="B275" t="inlineStr">
        <is>
          <t>avverkningsanmälan</t>
        </is>
      </c>
      <c r="C275" t="inlineStr">
        <is>
          <t>Föryngringsavverkning</t>
        </is>
      </c>
      <c r="D275" s="1" t="n">
        <v>44490</v>
      </c>
      <c r="E275" s="1" t="n">
        <v>46233</v>
      </c>
      <c r="F275" t="inlineStr">
        <is>
          <t>JÖNKÖPINGS LÄN</t>
        </is>
      </c>
      <c r="G275" t="inlineStr">
        <is>
          <t>VAGGERYD</t>
        </is>
      </c>
      <c r="H275" t="inlineStr">
        <is>
          <t>Sveaskog</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9217-2022</t>
        </is>
      </c>
      <c r="B276" t="inlineStr">
        <is>
          <t>avverkningsanmälan</t>
        </is>
      </c>
      <c r="C276" t="inlineStr">
        <is>
          <t>Föryngringsavverkning</t>
        </is>
      </c>
      <c r="D276" s="1" t="n">
        <v>44616</v>
      </c>
      <c r="E276" s="1" t="n">
        <v>46233</v>
      </c>
      <c r="F276" t="inlineStr">
        <is>
          <t>JÖNKÖPINGS LÄN</t>
        </is>
      </c>
      <c r="G276" t="inlineStr">
        <is>
          <t>VAGGERYD</t>
        </is>
      </c>
      <c r="H276" t="inlineStr">
        <is>
          <t>Sveaskog</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63412-2023</t>
        </is>
      </c>
      <c r="B277" t="inlineStr">
        <is>
          <t>avverkningsanmälan</t>
        </is>
      </c>
      <c r="C277" t="inlineStr">
        <is>
          <t>Föryngringsavverkning</t>
        </is>
      </c>
      <c r="D277" s="1" t="n">
        <v>45274</v>
      </c>
      <c r="E277" s="1" t="n">
        <v>46233</v>
      </c>
      <c r="F277" t="inlineStr">
        <is>
          <t>JÖNKÖPINGS LÄN</t>
        </is>
      </c>
      <c r="G277" t="inlineStr">
        <is>
          <t>VAGGERYD</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16612-2025</t>
        </is>
      </c>
      <c r="B278" t="inlineStr">
        <is>
          <t>avverkningsanmälan</t>
        </is>
      </c>
      <c r="C278" t="inlineStr">
        <is>
          <t>Föryngringsavverkning</t>
        </is>
      </c>
      <c r="D278" s="1" t="n">
        <v>45753</v>
      </c>
      <c r="E278" s="1" t="n">
        <v>46233</v>
      </c>
      <c r="F278" t="inlineStr">
        <is>
          <t>JÖNKÖPINGS LÄN</t>
        </is>
      </c>
      <c r="G278" t="inlineStr">
        <is>
          <t>VAGGERYD</t>
        </is>
      </c>
      <c r="H278" t="inlineStr">
        <is>
          <t>Sveaskog</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26688-2024</t>
        </is>
      </c>
      <c r="B279" t="inlineStr">
        <is>
          <t>avverkningsanmälan</t>
        </is>
      </c>
      <c r="C279" t="inlineStr">
        <is>
          <t>Föryngringsavverkning</t>
        </is>
      </c>
      <c r="D279" s="1" t="n">
        <v>45469</v>
      </c>
      <c r="E279" s="1" t="n">
        <v>46233</v>
      </c>
      <c r="F279" t="inlineStr">
        <is>
          <t>JÖNKÖPINGS LÄN</t>
        </is>
      </c>
      <c r="G279" t="inlineStr">
        <is>
          <t>VAGGERYD</t>
        </is>
      </c>
      <c r="I279" t="n">
        <v>7.1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22983-2025</t>
        </is>
      </c>
      <c r="B280" t="inlineStr">
        <is>
          <t>avverkningsanmälan</t>
        </is>
      </c>
      <c r="C280" t="inlineStr">
        <is>
          <t>Föryngringsavverkning</t>
        </is>
      </c>
      <c r="D280" s="1" t="n">
        <v>45790</v>
      </c>
      <c r="E280" s="1" t="n">
        <v>46233</v>
      </c>
      <c r="F280" t="inlineStr">
        <is>
          <t>JÖNKÖPINGS LÄN</t>
        </is>
      </c>
      <c r="G280" t="inlineStr">
        <is>
          <t>VAGGERYD</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17512-2023</t>
        </is>
      </c>
      <c r="B281" t="inlineStr">
        <is>
          <t>avverkningsanmälan</t>
        </is>
      </c>
      <c r="C281" t="inlineStr">
        <is>
          <t>Föryngringsavverkning</t>
        </is>
      </c>
      <c r="D281" s="1" t="n">
        <v>45036</v>
      </c>
      <c r="E281" s="1" t="n">
        <v>46233</v>
      </c>
      <c r="F281" t="inlineStr">
        <is>
          <t>JÖNKÖPINGS LÄN</t>
        </is>
      </c>
      <c r="G281" t="inlineStr">
        <is>
          <t>VAGGERYD</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73309-2021</t>
        </is>
      </c>
      <c r="B282" t="inlineStr">
        <is>
          <t>avverkningsanmälan</t>
        </is>
      </c>
      <c r="C282" t="inlineStr">
        <is>
          <t>Avverkning för annat ändamål</t>
        </is>
      </c>
      <c r="D282" s="1" t="n">
        <v>44551</v>
      </c>
      <c r="E282" s="1" t="n">
        <v>46233</v>
      </c>
      <c r="F282" t="inlineStr">
        <is>
          <t>JÖNKÖPINGS LÄN</t>
        </is>
      </c>
      <c r="G282" t="inlineStr">
        <is>
          <t>VAGGERYD</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58923-2024</t>
        </is>
      </c>
      <c r="B283" t="inlineStr">
        <is>
          <t>avverkningsanmälan</t>
        </is>
      </c>
      <c r="C283" t="inlineStr">
        <is>
          <t>Föryngringsavverkning</t>
        </is>
      </c>
      <c r="D283" s="1" t="n">
        <v>45636</v>
      </c>
      <c r="E283" s="1" t="n">
        <v>46233</v>
      </c>
      <c r="F283" t="inlineStr">
        <is>
          <t>JÖNKÖPINGS LÄN</t>
        </is>
      </c>
      <c r="G283" t="inlineStr">
        <is>
          <t>VAGGERYD</t>
        </is>
      </c>
      <c r="H283" t="inlineStr">
        <is>
          <t>Sveaskog</t>
        </is>
      </c>
      <c r="I283" t="n">
        <v>9.5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58924-2024</t>
        </is>
      </c>
      <c r="B284" t="inlineStr">
        <is>
          <t>avverkningsanmälan</t>
        </is>
      </c>
      <c r="C284" t="inlineStr">
        <is>
          <t>Föryngringsavverkning</t>
        </is>
      </c>
      <c r="D284" s="1" t="n">
        <v>45636</v>
      </c>
      <c r="E284" s="1" t="n">
        <v>46233</v>
      </c>
      <c r="F284" t="inlineStr">
        <is>
          <t>JÖNKÖPINGS LÄN</t>
        </is>
      </c>
      <c r="G284" t="inlineStr">
        <is>
          <t>VAGGERYD</t>
        </is>
      </c>
      <c r="H284" t="inlineStr">
        <is>
          <t>Sveaskog</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41379-2025</t>
        </is>
      </c>
      <c r="B285" t="inlineStr">
        <is>
          <t>avverkningsanmälan</t>
        </is>
      </c>
      <c r="C285" t="inlineStr">
        <is>
          <t>Föryngringsavverkning</t>
        </is>
      </c>
      <c r="D285" s="1" t="n">
        <v>45900</v>
      </c>
      <c r="E285" s="1" t="n">
        <v>46233</v>
      </c>
      <c r="F285" t="inlineStr">
        <is>
          <t>JÖNKÖPINGS LÄN</t>
        </is>
      </c>
      <c r="G285" t="inlineStr">
        <is>
          <t>VAGGERYD</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39506-2024</t>
        </is>
      </c>
      <c r="B286" t="inlineStr">
        <is>
          <t>avverkningsanmälan</t>
        </is>
      </c>
      <c r="C286" t="inlineStr">
        <is>
          <t>Föryngringsavverkning</t>
        </is>
      </c>
      <c r="D286" s="1" t="n">
        <v>45551</v>
      </c>
      <c r="E286" s="1" t="n">
        <v>46233</v>
      </c>
      <c r="F286" t="inlineStr">
        <is>
          <t>JÖNKÖPINGS LÄN</t>
        </is>
      </c>
      <c r="G286" t="inlineStr">
        <is>
          <t>VAGGERYD</t>
        </is>
      </c>
      <c r="H286" t="inlineStr">
        <is>
          <t>Kommuner</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40343-2023</t>
        </is>
      </c>
      <c r="B287" t="inlineStr">
        <is>
          <t>avverkningsanmälan</t>
        </is>
      </c>
      <c r="C287" t="inlineStr">
        <is>
          <t>Föryngringsavverkning</t>
        </is>
      </c>
      <c r="D287" s="1" t="n">
        <v>45169</v>
      </c>
      <c r="E287" s="1" t="n">
        <v>46233</v>
      </c>
      <c r="F287" t="inlineStr">
        <is>
          <t>JÖNKÖPINGS LÄN</t>
        </is>
      </c>
      <c r="G287" t="inlineStr">
        <is>
          <t>VAGGERYD</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36318-2023</t>
        </is>
      </c>
      <c r="B288" t="inlineStr">
        <is>
          <t>avverkningsanmälan</t>
        </is>
      </c>
      <c r="C288" t="inlineStr">
        <is>
          <t>Avverkning för annat ändamål</t>
        </is>
      </c>
      <c r="D288" s="1" t="n">
        <v>45149</v>
      </c>
      <c r="E288" s="1" t="n">
        <v>46233</v>
      </c>
      <c r="F288" t="inlineStr">
        <is>
          <t>JÖNKÖPINGS LÄN</t>
        </is>
      </c>
      <c r="G288" t="inlineStr">
        <is>
          <t>VAGGERYD</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73527-2021</t>
        </is>
      </c>
      <c r="B289" t="inlineStr">
        <is>
          <t>avverkningsanmälan</t>
        </is>
      </c>
      <c r="C289" t="inlineStr">
        <is>
          <t>Avverkning för annat ändamål</t>
        </is>
      </c>
      <c r="D289" s="1" t="n">
        <v>44550</v>
      </c>
      <c r="E289" s="1" t="n">
        <v>46233</v>
      </c>
      <c r="F289" t="inlineStr">
        <is>
          <t>JÖNKÖPINGS LÄN</t>
        </is>
      </c>
      <c r="G289" t="inlineStr">
        <is>
          <t>VAGGERYD</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58600-2024</t>
        </is>
      </c>
      <c r="B290" t="inlineStr">
        <is>
          <t>avverkningsanmälan</t>
        </is>
      </c>
      <c r="C290" t="inlineStr">
        <is>
          <t>Föryngringsavverkning</t>
        </is>
      </c>
      <c r="D290" s="1" t="n">
        <v>45635</v>
      </c>
      <c r="E290" s="1" t="n">
        <v>46233</v>
      </c>
      <c r="F290" t="inlineStr">
        <is>
          <t>JÖNKÖPINGS LÄN</t>
        </is>
      </c>
      <c r="G290" t="inlineStr">
        <is>
          <t>VAGGERYD</t>
        </is>
      </c>
      <c r="H290" t="inlineStr">
        <is>
          <t>Sveaskog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34094-2025</t>
        </is>
      </c>
      <c r="B291" t="inlineStr">
        <is>
          <t>avverkningsanmälan</t>
        </is>
      </c>
      <c r="C291" t="inlineStr">
        <is>
          <t>Föryngringsavverkning</t>
        </is>
      </c>
      <c r="D291" s="1" t="n">
        <v>45845</v>
      </c>
      <c r="E291" s="1" t="n">
        <v>46233</v>
      </c>
      <c r="F291" t="inlineStr">
        <is>
          <t>JÖNKÖPINGS LÄN</t>
        </is>
      </c>
      <c r="G291" t="inlineStr">
        <is>
          <t>VAGGERYD</t>
        </is>
      </c>
      <c r="I291" t="n">
        <v>14.5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58267-2025</t>
        </is>
      </c>
      <c r="B292" t="inlineStr">
        <is>
          <t>avverkningsanmälan</t>
        </is>
      </c>
      <c r="C292" t="inlineStr">
        <is>
          <t>Avverkning för annat ändamål</t>
        </is>
      </c>
      <c r="D292" s="1" t="n">
        <v>45985</v>
      </c>
      <c r="E292" s="1" t="n">
        <v>46233</v>
      </c>
      <c r="F292" t="inlineStr">
        <is>
          <t>JÖNKÖPINGS LÄN</t>
        </is>
      </c>
      <c r="G292" t="inlineStr">
        <is>
          <t>VAGGERYD</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44808-2023</t>
        </is>
      </c>
      <c r="B293" t="inlineStr">
        <is>
          <t>avverkningsanmälan</t>
        </is>
      </c>
      <c r="C293" t="inlineStr">
        <is>
          <t>Avverkning för annat ändamål</t>
        </is>
      </c>
      <c r="D293" s="1" t="n">
        <v>45190</v>
      </c>
      <c r="E293" s="1" t="n">
        <v>46233</v>
      </c>
      <c r="F293" t="inlineStr">
        <is>
          <t>JÖNKÖPINGS LÄN</t>
        </is>
      </c>
      <c r="G293" t="inlineStr">
        <is>
          <t>VAGGERYD</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27461-2023</t>
        </is>
      </c>
      <c r="B294" t="inlineStr">
        <is>
          <t>avverkningsanmälan</t>
        </is>
      </c>
      <c r="C294" t="inlineStr">
        <is>
          <t>Föryngringsavverkning</t>
        </is>
      </c>
      <c r="D294" s="1" t="n">
        <v>45097</v>
      </c>
      <c r="E294" s="1" t="n">
        <v>46233</v>
      </c>
      <c r="F294" t="inlineStr">
        <is>
          <t>JÖNKÖPINGS LÄN</t>
        </is>
      </c>
      <c r="G294" t="inlineStr">
        <is>
          <t>VAGGERYD</t>
        </is>
      </c>
      <c r="H294" t="inlineStr">
        <is>
          <t>Sveaskog</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3113-2025</t>
        </is>
      </c>
      <c r="B295" t="inlineStr">
        <is>
          <t>avverkningsanmälan</t>
        </is>
      </c>
      <c r="C295" t="inlineStr">
        <is>
          <t>Föryngringsavverkning</t>
        </is>
      </c>
      <c r="D295" s="1" t="n">
        <v>45678</v>
      </c>
      <c r="E295" s="1" t="n">
        <v>46233</v>
      </c>
      <c r="F295" t="inlineStr">
        <is>
          <t>JÖNKÖPINGS LÄN</t>
        </is>
      </c>
      <c r="G295" t="inlineStr">
        <is>
          <t>VAGGERYD</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61915-2023</t>
        </is>
      </c>
      <c r="B296" t="inlineStr">
        <is>
          <t>avverkningsanmälan</t>
        </is>
      </c>
      <c r="C296" t="inlineStr">
        <is>
          <t>Föryngringsavverkning</t>
        </is>
      </c>
      <c r="D296" s="1" t="n">
        <v>45266</v>
      </c>
      <c r="E296" s="1" t="n">
        <v>46233</v>
      </c>
      <c r="F296" t="inlineStr">
        <is>
          <t>JÖNKÖPINGS LÄN</t>
        </is>
      </c>
      <c r="G296" t="inlineStr">
        <is>
          <t>VAGGERYD</t>
        </is>
      </c>
      <c r="I296" t="n">
        <v>4.6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40881-2024</t>
        </is>
      </c>
      <c r="B297" t="inlineStr">
        <is>
          <t>avverkningsanmälan</t>
        </is>
      </c>
      <c r="C297" t="inlineStr">
        <is>
          <t>Föryngringsavverkning</t>
        </is>
      </c>
      <c r="D297" s="1" t="n">
        <v>45558</v>
      </c>
      <c r="E297" s="1" t="n">
        <v>46233</v>
      </c>
      <c r="F297" t="inlineStr">
        <is>
          <t>JÖNKÖPINGS LÄN</t>
        </is>
      </c>
      <c r="G297" t="inlineStr">
        <is>
          <t>VAGGERYD</t>
        </is>
      </c>
      <c r="H297" t="inlineStr">
        <is>
          <t>Sveaskog</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19787-2023</t>
        </is>
      </c>
      <c r="B298" t="inlineStr">
        <is>
          <t>avverkningsanmälan</t>
        </is>
      </c>
      <c r="C298" t="inlineStr">
        <is>
          <t>Föryngringsavverkning</t>
        </is>
      </c>
      <c r="D298" s="1" t="n">
        <v>45051</v>
      </c>
      <c r="E298" s="1" t="n">
        <v>46233</v>
      </c>
      <c r="F298" t="inlineStr">
        <is>
          <t>JÖNKÖPINGS LÄN</t>
        </is>
      </c>
      <c r="G298" t="inlineStr">
        <is>
          <t>VAGGERYD</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44002-2023</t>
        </is>
      </c>
      <c r="B299" t="inlineStr">
        <is>
          <t>avverkningsanmälan</t>
        </is>
      </c>
      <c r="C299" t="inlineStr">
        <is>
          <t>Avverkning för annat ändamål</t>
        </is>
      </c>
      <c r="D299" s="1" t="n">
        <v>45188</v>
      </c>
      <c r="E299" s="1" t="n">
        <v>46233</v>
      </c>
      <c r="F299" t="inlineStr">
        <is>
          <t>JÖNKÖPINGS LÄN</t>
        </is>
      </c>
      <c r="G299" t="inlineStr">
        <is>
          <t>VAGGERYD</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5335-2025</t>
        </is>
      </c>
      <c r="B300" t="inlineStr">
        <is>
          <t>avverkningsanmälan</t>
        </is>
      </c>
      <c r="C300" t="inlineStr">
        <is>
          <t>Föryngringsavverkning</t>
        </is>
      </c>
      <c r="D300" s="1" t="n">
        <v>45659</v>
      </c>
      <c r="E300" s="1" t="n">
        <v>46233</v>
      </c>
      <c r="F300" t="inlineStr">
        <is>
          <t>JÖNKÖPINGS LÄN</t>
        </is>
      </c>
      <c r="G300" t="inlineStr">
        <is>
          <t>VAGGERYD</t>
        </is>
      </c>
      <c r="I300" t="n">
        <v>10.2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2653-2025</t>
        </is>
      </c>
      <c r="B301" t="inlineStr">
        <is>
          <t>avverkningsanmälan</t>
        </is>
      </c>
      <c r="C301" t="inlineStr">
        <is>
          <t>Föryngringsavverkning</t>
        </is>
      </c>
      <c r="D301" s="1" t="n">
        <v>45676</v>
      </c>
      <c r="E301" s="1" t="n">
        <v>46233</v>
      </c>
      <c r="F301" t="inlineStr">
        <is>
          <t>JÖNKÖPINGS LÄN</t>
        </is>
      </c>
      <c r="G301" t="inlineStr">
        <is>
          <t>VAGGERYD</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6105-2025</t>
        </is>
      </c>
      <c r="B302" t="inlineStr">
        <is>
          <t>avverkningsanmälan</t>
        </is>
      </c>
      <c r="C302" t="inlineStr">
        <is>
          <t>Föryngringsavverkning</t>
        </is>
      </c>
      <c r="D302" s="1" t="n">
        <v>45697</v>
      </c>
      <c r="E302" s="1" t="n">
        <v>46233</v>
      </c>
      <c r="F302" t="inlineStr">
        <is>
          <t>JÖNKÖPINGS LÄN</t>
        </is>
      </c>
      <c r="G302" t="inlineStr">
        <is>
          <t>VAGGERYD</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61961-2024</t>
        </is>
      </c>
      <c r="B303" t="inlineStr">
        <is>
          <t>avverkningsanmälan</t>
        </is>
      </c>
      <c r="C303" t="inlineStr">
        <is>
          <t>Föryngringsavverkning</t>
        </is>
      </c>
      <c r="D303" s="1" t="n">
        <v>45653</v>
      </c>
      <c r="E303" s="1" t="n">
        <v>46233</v>
      </c>
      <c r="F303" t="inlineStr">
        <is>
          <t>JÖNKÖPINGS LÄN</t>
        </is>
      </c>
      <c r="G303" t="inlineStr">
        <is>
          <t>VAGGERYD</t>
        </is>
      </c>
      <c r="H303" t="inlineStr">
        <is>
          <t>Sveaskog</t>
        </is>
      </c>
      <c r="I303" t="n">
        <v>6.5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17603-2025</t>
        </is>
      </c>
      <c r="B304" t="inlineStr">
        <is>
          <t>avverkningsanmälan</t>
        </is>
      </c>
      <c r="C304" t="inlineStr">
        <is>
          <t>Föryngringsavverkning</t>
        </is>
      </c>
      <c r="D304" s="1" t="n">
        <v>45757</v>
      </c>
      <c r="E304" s="1" t="n">
        <v>46233</v>
      </c>
      <c r="F304" t="inlineStr">
        <is>
          <t>JÖNKÖPINGS LÄN</t>
        </is>
      </c>
      <c r="G304" t="inlineStr">
        <is>
          <t>VAGGERYD</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12664-2022</t>
        </is>
      </c>
      <c r="B305" t="inlineStr">
        <is>
          <t>avverkningsanmälan</t>
        </is>
      </c>
      <c r="C305" t="inlineStr">
        <is>
          <t>Avverkning för annat ändamål</t>
        </is>
      </c>
      <c r="D305" s="1" t="n">
        <v>44641</v>
      </c>
      <c r="E305" s="1" t="n">
        <v>46233</v>
      </c>
      <c r="F305" t="inlineStr">
        <is>
          <t>JÖNKÖPINGS LÄN</t>
        </is>
      </c>
      <c r="G305" t="inlineStr">
        <is>
          <t>VAGGERYD</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17340-2024</t>
        </is>
      </c>
      <c r="B306" t="inlineStr">
        <is>
          <t>avverkningsanmälan</t>
        </is>
      </c>
      <c r="C306" t="inlineStr">
        <is>
          <t>Föryngringsavverkning</t>
        </is>
      </c>
      <c r="D306" s="1" t="n">
        <v>45414</v>
      </c>
      <c r="E306" s="1" t="n">
        <v>46233</v>
      </c>
      <c r="F306" t="inlineStr">
        <is>
          <t>JÖNKÖPINGS LÄN</t>
        </is>
      </c>
      <c r="G306" t="inlineStr">
        <is>
          <t>VAGGERYD</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15423-2024</t>
        </is>
      </c>
      <c r="B307" t="inlineStr">
        <is>
          <t>avverkningsanmälan</t>
        </is>
      </c>
      <c r="C307" t="inlineStr">
        <is>
          <t>Föryngringsavverkning</t>
        </is>
      </c>
      <c r="D307" s="1" t="n">
        <v>45401</v>
      </c>
      <c r="E307" s="1" t="n">
        <v>46233</v>
      </c>
      <c r="F307" t="inlineStr">
        <is>
          <t>JÖNKÖPINGS LÄN</t>
        </is>
      </c>
      <c r="G307" t="inlineStr">
        <is>
          <t>VAGGERYD</t>
        </is>
      </c>
      <c r="I307" t="n">
        <v>6.6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54747-2023</t>
        </is>
      </c>
      <c r="B308" t="inlineStr">
        <is>
          <t>avverkningsanmälan</t>
        </is>
      </c>
      <c r="C308" t="inlineStr">
        <is>
          <t>Föryngringsavverkning</t>
        </is>
      </c>
      <c r="D308" s="1" t="n">
        <v>45236</v>
      </c>
      <c r="E308" s="1" t="n">
        <v>46233</v>
      </c>
      <c r="F308" t="inlineStr">
        <is>
          <t>JÖNKÖPINGS LÄN</t>
        </is>
      </c>
      <c r="G308" t="inlineStr">
        <is>
          <t>VAGGERYD</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49510-2023</t>
        </is>
      </c>
      <c r="B309" t="inlineStr">
        <is>
          <t>avverkningsanmälan</t>
        </is>
      </c>
      <c r="C309" t="inlineStr">
        <is>
          <t>Avverkning för att bevara och utveckla /försöksver</t>
        </is>
      </c>
      <c r="D309" s="1" t="n">
        <v>45211</v>
      </c>
      <c r="E309" s="1" t="n">
        <v>46233</v>
      </c>
      <c r="F309" t="inlineStr">
        <is>
          <t>JÖNKÖPINGS LÄN</t>
        </is>
      </c>
      <c r="G309" t="inlineStr">
        <is>
          <t>VAGGERYD</t>
        </is>
      </c>
      <c r="H309" t="inlineStr">
        <is>
          <t>Sveaskog</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43704-2023</t>
        </is>
      </c>
      <c r="B310" t="inlineStr">
        <is>
          <t>avverkningsanmälan</t>
        </is>
      </c>
      <c r="C310" t="inlineStr">
        <is>
          <t>Föryngringsavverkning</t>
        </is>
      </c>
      <c r="D310" s="1" t="n">
        <v>45187</v>
      </c>
      <c r="E310" s="1" t="n">
        <v>46233</v>
      </c>
      <c r="F310" t="inlineStr">
        <is>
          <t>JÖNKÖPINGS LÄN</t>
        </is>
      </c>
      <c r="G310" t="inlineStr">
        <is>
          <t>VAGGERYD</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20251-2025</t>
        </is>
      </c>
      <c r="B311" t="inlineStr">
        <is>
          <t>avverkningsanmälan</t>
        </is>
      </c>
      <c r="C311" t="inlineStr">
        <is>
          <t>Avverkning för annat ändamål</t>
        </is>
      </c>
      <c r="D311" s="1" t="n">
        <v>45772</v>
      </c>
      <c r="E311" s="1" t="n">
        <v>46233</v>
      </c>
      <c r="F311" t="inlineStr">
        <is>
          <t>JÖNKÖPINGS LÄN</t>
        </is>
      </c>
      <c r="G311" t="inlineStr">
        <is>
          <t>VAGGERYD</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33237-2022</t>
        </is>
      </c>
      <c r="B312" t="inlineStr">
        <is>
          <t>avverkningsanmälan</t>
        </is>
      </c>
      <c r="C312" t="inlineStr">
        <is>
          <t>Föryngringsavverkning</t>
        </is>
      </c>
      <c r="D312" s="1" t="n">
        <v>44786</v>
      </c>
      <c r="E312" s="1" t="n">
        <v>46233</v>
      </c>
      <c r="F312" t="inlineStr">
        <is>
          <t>JÖNKÖPINGS LÄN</t>
        </is>
      </c>
      <c r="G312" t="inlineStr">
        <is>
          <t>VAGGERYD</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35051-2025</t>
        </is>
      </c>
      <c r="B313" t="inlineStr">
        <is>
          <t>avverkningsanmälan</t>
        </is>
      </c>
      <c r="C313" t="inlineStr">
        <is>
          <t>Föryngringsavverkning</t>
        </is>
      </c>
      <c r="D313" s="1" t="n">
        <v>45852</v>
      </c>
      <c r="E313" s="1" t="n">
        <v>46233</v>
      </c>
      <c r="F313" t="inlineStr">
        <is>
          <t>JÖNKÖPINGS LÄN</t>
        </is>
      </c>
      <c r="G313" t="inlineStr">
        <is>
          <t>VAGGERYD</t>
        </is>
      </c>
      <c r="I313" t="n">
        <v>5.5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40706-2022</t>
        </is>
      </c>
      <c r="B314" t="inlineStr">
        <is>
          <t>avverkningsanmälan</t>
        </is>
      </c>
      <c r="C314" t="inlineStr">
        <is>
          <t>Föryngringsavverkning</t>
        </is>
      </c>
      <c r="D314" s="1" t="n">
        <v>44824</v>
      </c>
      <c r="E314" s="1" t="n">
        <v>46233</v>
      </c>
      <c r="F314" t="inlineStr">
        <is>
          <t>JÖNKÖPINGS LÄN</t>
        </is>
      </c>
      <c r="G314" t="inlineStr">
        <is>
          <t>VAGGERYD</t>
        </is>
      </c>
      <c r="I314" t="n">
        <v>7.3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43676-2023</t>
        </is>
      </c>
      <c r="B315" t="inlineStr">
        <is>
          <t>avverkningsanmälan</t>
        </is>
      </c>
      <c r="C315" t="inlineStr">
        <is>
          <t>Föryngringsavverkning</t>
        </is>
      </c>
      <c r="D315" s="1" t="n">
        <v>45187</v>
      </c>
      <c r="E315" s="1" t="n">
        <v>46233</v>
      </c>
      <c r="F315" t="inlineStr">
        <is>
          <t>JÖNKÖPINGS LÄN</t>
        </is>
      </c>
      <c r="G315" t="inlineStr">
        <is>
          <t>VAGGERYD</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16610-2025</t>
        </is>
      </c>
      <c r="B316" t="inlineStr">
        <is>
          <t>avverkningsanmälan</t>
        </is>
      </c>
      <c r="C316" t="inlineStr">
        <is>
          <t>Föryngringsavverkning</t>
        </is>
      </c>
      <c r="D316" s="1" t="n">
        <v>45753</v>
      </c>
      <c r="E316" s="1" t="n">
        <v>46233</v>
      </c>
      <c r="F316" t="inlineStr">
        <is>
          <t>JÖNKÖPINGS LÄN</t>
        </is>
      </c>
      <c r="G316" t="inlineStr">
        <is>
          <t>VAGGERYD</t>
        </is>
      </c>
      <c r="H316" t="inlineStr">
        <is>
          <t>Sveaskog</t>
        </is>
      </c>
      <c r="I316" t="n">
        <v>5.8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14399-2023</t>
        </is>
      </c>
      <c r="B317" t="inlineStr">
        <is>
          <t>avverkningsanmälan</t>
        </is>
      </c>
      <c r="C317" t="inlineStr">
        <is>
          <t>Föryngringsavverkning</t>
        </is>
      </c>
      <c r="D317" s="1" t="n">
        <v>45012</v>
      </c>
      <c r="E317" s="1" t="n">
        <v>46233</v>
      </c>
      <c r="F317" t="inlineStr">
        <is>
          <t>JÖNKÖPINGS LÄN</t>
        </is>
      </c>
      <c r="G317" t="inlineStr">
        <is>
          <t>VAGGERYD</t>
        </is>
      </c>
      <c r="I317" t="n">
        <v>5.3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53186-2023</t>
        </is>
      </c>
      <c r="B318" t="inlineStr">
        <is>
          <t>avverkningsanmälan</t>
        </is>
      </c>
      <c r="C318" t="inlineStr">
        <is>
          <t>Föryngringsavverkning</t>
        </is>
      </c>
      <c r="D318" s="1" t="n">
        <v>45229</v>
      </c>
      <c r="E318" s="1" t="n">
        <v>46233</v>
      </c>
      <c r="F318" t="inlineStr">
        <is>
          <t>JÖNKÖPINGS LÄN</t>
        </is>
      </c>
      <c r="G318" t="inlineStr">
        <is>
          <t>VAGGERYD</t>
        </is>
      </c>
      <c r="I318" t="n">
        <v>7.7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56370-2023</t>
        </is>
      </c>
      <c r="B319" t="inlineStr">
        <is>
          <t>avverkningsanmälan</t>
        </is>
      </c>
      <c r="C319" t="inlineStr">
        <is>
          <t>Föryngringsavverkning</t>
        </is>
      </c>
      <c r="D319" s="1" t="n">
        <v>45243</v>
      </c>
      <c r="E319" s="1" t="n">
        <v>46233</v>
      </c>
      <c r="F319" t="inlineStr">
        <is>
          <t>JÖNKÖPINGS LÄN</t>
        </is>
      </c>
      <c r="G319" t="inlineStr">
        <is>
          <t>VAGGERYD</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62032-2023</t>
        </is>
      </c>
      <c r="B320" t="inlineStr">
        <is>
          <t>avverkningsanmälan</t>
        </is>
      </c>
      <c r="C320" t="inlineStr">
        <is>
          <t>Föryngringsavverkning</t>
        </is>
      </c>
      <c r="D320" s="1" t="n">
        <v>45265</v>
      </c>
      <c r="E320" s="1" t="n">
        <v>46233</v>
      </c>
      <c r="F320" t="inlineStr">
        <is>
          <t>JÖNKÖPINGS LÄN</t>
        </is>
      </c>
      <c r="G320" t="inlineStr">
        <is>
          <t>VAGGERYD</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16096-2025</t>
        </is>
      </c>
      <c r="B321" t="inlineStr">
        <is>
          <t>avverkningsanmälan</t>
        </is>
      </c>
      <c r="C321" t="inlineStr">
        <is>
          <t>Föryngringsavverkning</t>
        </is>
      </c>
      <c r="D321" s="1" t="n">
        <v>45749</v>
      </c>
      <c r="E321" s="1" t="n">
        <v>46233</v>
      </c>
      <c r="F321" t="inlineStr">
        <is>
          <t>JÖNKÖPINGS LÄN</t>
        </is>
      </c>
      <c r="G321" t="inlineStr">
        <is>
          <t>VAGGERYD</t>
        </is>
      </c>
      <c r="H321" t="inlineStr">
        <is>
          <t>Sveaskog</t>
        </is>
      </c>
      <c r="I321" t="n">
        <v>7.8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2883-2024</t>
        </is>
      </c>
      <c r="B322" t="inlineStr">
        <is>
          <t>avverkningsanmälan</t>
        </is>
      </c>
      <c r="C322" t="inlineStr">
        <is>
          <t>Avverkning för annat ändamål</t>
        </is>
      </c>
      <c r="D322" s="1" t="n">
        <v>45315</v>
      </c>
      <c r="E322" s="1" t="n">
        <v>46233</v>
      </c>
      <c r="F322" t="inlineStr">
        <is>
          <t>JÖNKÖPINGS LÄN</t>
        </is>
      </c>
      <c r="G322" t="inlineStr">
        <is>
          <t>VAGGERYD</t>
        </is>
      </c>
      <c r="I322" t="n">
        <v>12.2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55705-2023</t>
        </is>
      </c>
      <c r="B323" t="inlineStr">
        <is>
          <t>avverkningsanmälan</t>
        </is>
      </c>
      <c r="C323" t="inlineStr">
        <is>
          <t>Föryngringsavverkning</t>
        </is>
      </c>
      <c r="D323" s="1" t="n">
        <v>45239</v>
      </c>
      <c r="E323" s="1" t="n">
        <v>46233</v>
      </c>
      <c r="F323" t="inlineStr">
        <is>
          <t>JÖNKÖPINGS LÄN</t>
        </is>
      </c>
      <c r="G323" t="inlineStr">
        <is>
          <t>VAGGERYD</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2796-2024</t>
        </is>
      </c>
      <c r="B324" t="inlineStr">
        <is>
          <t>avverkningsanmälan</t>
        </is>
      </c>
      <c r="C324" t="inlineStr">
        <is>
          <t>Föryngringsavverkning</t>
        </is>
      </c>
      <c r="D324" s="1" t="n">
        <v>45314</v>
      </c>
      <c r="E324" s="1" t="n">
        <v>46233</v>
      </c>
      <c r="F324" t="inlineStr">
        <is>
          <t>JÖNKÖPINGS LÄN</t>
        </is>
      </c>
      <c r="G324" t="inlineStr">
        <is>
          <t>VAGGERYD</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22826-2026</t>
        </is>
      </c>
      <c r="B325" t="inlineStr">
        <is>
          <t>avverkningsanmälan</t>
        </is>
      </c>
      <c r="C325" t="inlineStr">
        <is>
          <t>Föryngringsavverkning</t>
        </is>
      </c>
      <c r="D325" s="1" t="n">
        <v>46160</v>
      </c>
      <c r="E325" s="1" t="n">
        <v>46233</v>
      </c>
      <c r="F325" t="inlineStr">
        <is>
          <t>JÖNKÖPINGS LÄN</t>
        </is>
      </c>
      <c r="G325" t="inlineStr">
        <is>
          <t>VAGGERYD</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29308-2026</t>
        </is>
      </c>
      <c r="B326" t="inlineStr">
        <is>
          <t>avverkningsanmälan</t>
        </is>
      </c>
      <c r="C326" t="inlineStr">
        <is>
          <t>Föryngringsavverkning</t>
        </is>
      </c>
      <c r="D326" s="1" t="n">
        <v>46202</v>
      </c>
      <c r="E326" s="1" t="n">
        <v>46233</v>
      </c>
      <c r="F326" t="inlineStr">
        <is>
          <t>JÖNKÖPINGS LÄN</t>
        </is>
      </c>
      <c r="G326" t="inlineStr">
        <is>
          <t>VAGGERYD</t>
        </is>
      </c>
      <c r="I326" t="n">
        <v>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22823-2026</t>
        </is>
      </c>
      <c r="B327" t="inlineStr">
        <is>
          <t>avverkningsanmälan</t>
        </is>
      </c>
      <c r="C327" t="inlineStr">
        <is>
          <t>Föryngringsavverkning</t>
        </is>
      </c>
      <c r="D327" s="1" t="n">
        <v>46160</v>
      </c>
      <c r="E327" s="1" t="n">
        <v>46233</v>
      </c>
      <c r="F327" t="inlineStr">
        <is>
          <t>JÖNKÖPINGS LÄN</t>
        </is>
      </c>
      <c r="G327" t="inlineStr">
        <is>
          <t>VAGGERYD</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8538-2024</t>
        </is>
      </c>
      <c r="B328" t="inlineStr">
        <is>
          <t>avverkningsanmälan</t>
        </is>
      </c>
      <c r="C328" t="inlineStr">
        <is>
          <t>Föryngringsavverkning</t>
        </is>
      </c>
      <c r="D328" s="1" t="n">
        <v>45355</v>
      </c>
      <c r="E328" s="1" t="n">
        <v>46233</v>
      </c>
      <c r="F328" t="inlineStr">
        <is>
          <t>JÖNKÖPINGS LÄN</t>
        </is>
      </c>
      <c r="G328" t="inlineStr">
        <is>
          <t>VAGGERYD</t>
        </is>
      </c>
      <c r="H328" t="inlineStr">
        <is>
          <t>Sveaskog</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22833-2026</t>
        </is>
      </c>
      <c r="B329" t="inlineStr">
        <is>
          <t>avverkningsanmälan</t>
        </is>
      </c>
      <c r="C329" t="inlineStr">
        <is>
          <t>Föryngringsavverkning</t>
        </is>
      </c>
      <c r="D329" s="1" t="n">
        <v>46160</v>
      </c>
      <c r="E329" s="1" t="n">
        <v>46233</v>
      </c>
      <c r="F329" t="inlineStr">
        <is>
          <t>JÖNKÖPINGS LÄN</t>
        </is>
      </c>
      <c r="G329" t="inlineStr">
        <is>
          <t>VAGGERYD</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60366-2021</t>
        </is>
      </c>
      <c r="B330" t="inlineStr">
        <is>
          <t>avverkningsanmälan</t>
        </is>
      </c>
      <c r="C330" t="inlineStr">
        <is>
          <t>Föryngringsavverkning</t>
        </is>
      </c>
      <c r="D330" s="1" t="n">
        <v>44496</v>
      </c>
      <c r="E330" s="1" t="n">
        <v>46233</v>
      </c>
      <c r="F330" t="inlineStr">
        <is>
          <t>JÖNKÖPINGS LÄN</t>
        </is>
      </c>
      <c r="G330" t="inlineStr">
        <is>
          <t>VAGGERYD</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22898-2026</t>
        </is>
      </c>
      <c r="B331" t="inlineStr">
        <is>
          <t>avverkningsanmälan</t>
        </is>
      </c>
      <c r="C331" t="inlineStr">
        <is>
          <t>Föryngringsavverkning</t>
        </is>
      </c>
      <c r="D331" s="1" t="n">
        <v>46160</v>
      </c>
      <c r="E331" s="1" t="n">
        <v>46233</v>
      </c>
      <c r="F331" t="inlineStr">
        <is>
          <t>JÖNKÖPINGS LÄN</t>
        </is>
      </c>
      <c r="G331" t="inlineStr">
        <is>
          <t>VAGGERYD</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39758-2022</t>
        </is>
      </c>
      <c r="B332" t="inlineStr">
        <is>
          <t>avverkningsanmälan</t>
        </is>
      </c>
      <c r="C332" t="inlineStr">
        <is>
          <t>Föryngringsavverkning</t>
        </is>
      </c>
      <c r="D332" s="1" t="n">
        <v>44819</v>
      </c>
      <c r="E332" s="1" t="n">
        <v>46233</v>
      </c>
      <c r="F332" t="inlineStr">
        <is>
          <t>JÖNKÖPINGS LÄN</t>
        </is>
      </c>
      <c r="G332" t="inlineStr">
        <is>
          <t>VAGGERYD</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762-2024</t>
        </is>
      </c>
      <c r="B333" t="inlineStr">
        <is>
          <t>avverkningsanmälan</t>
        </is>
      </c>
      <c r="C333" t="inlineStr">
        <is>
          <t>Föryngringsavverkning</t>
        </is>
      </c>
      <c r="D333" s="1" t="n">
        <v>45300</v>
      </c>
      <c r="E333" s="1" t="n">
        <v>46233</v>
      </c>
      <c r="F333" t="inlineStr">
        <is>
          <t>JÖNKÖPINGS LÄN</t>
        </is>
      </c>
      <c r="G333" t="inlineStr">
        <is>
          <t>VAGGERYD</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71537-2021</t>
        </is>
      </c>
      <c r="B334" t="inlineStr">
        <is>
          <t>avverkningsanmälan</t>
        </is>
      </c>
      <c r="C334" t="inlineStr">
        <is>
          <t>Föryngringsavverkning</t>
        </is>
      </c>
      <c r="D334" s="1" t="n">
        <v>44540</v>
      </c>
      <c r="E334" s="1" t="n">
        <v>46233</v>
      </c>
      <c r="F334" t="inlineStr">
        <is>
          <t>JÖNKÖPINGS LÄN</t>
        </is>
      </c>
      <c r="G334" t="inlineStr">
        <is>
          <t>VAGGERYD</t>
        </is>
      </c>
      <c r="H334" t="inlineStr">
        <is>
          <t>Sveaskog</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60067-2023</t>
        </is>
      </c>
      <c r="B335" t="inlineStr">
        <is>
          <t>avverkningsanmälan</t>
        </is>
      </c>
      <c r="C335" t="inlineStr">
        <is>
          <t>Föryngringsavverkning</t>
        </is>
      </c>
      <c r="D335" s="1" t="n">
        <v>45258</v>
      </c>
      <c r="E335" s="1" t="n">
        <v>46233</v>
      </c>
      <c r="F335" t="inlineStr">
        <is>
          <t>JÖNKÖPINGS LÄN</t>
        </is>
      </c>
      <c r="G335" t="inlineStr">
        <is>
          <t>VAGGERYD</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61421-2023</t>
        </is>
      </c>
      <c r="B336" t="inlineStr">
        <is>
          <t>avverkningsanmälan</t>
        </is>
      </c>
      <c r="C336" t="inlineStr">
        <is>
          <t>Föryngringsavverkning</t>
        </is>
      </c>
      <c r="D336" s="1" t="n">
        <v>45264</v>
      </c>
      <c r="E336" s="1" t="n">
        <v>46233</v>
      </c>
      <c r="F336" t="inlineStr">
        <is>
          <t>JÖNKÖPINGS LÄN</t>
        </is>
      </c>
      <c r="G336" t="inlineStr">
        <is>
          <t>VAGGERYD</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47005-2023</t>
        </is>
      </c>
      <c r="B337" t="inlineStr">
        <is>
          <t>avverkningsanmälan</t>
        </is>
      </c>
      <c r="C337" t="inlineStr">
        <is>
          <t>Föryngringsavverkning</t>
        </is>
      </c>
      <c r="D337" s="1" t="n">
        <v>45195</v>
      </c>
      <c r="E337" s="1" t="n">
        <v>46233</v>
      </c>
      <c r="F337" t="inlineStr">
        <is>
          <t>JÖNKÖPINGS LÄN</t>
        </is>
      </c>
      <c r="G337" t="inlineStr">
        <is>
          <t>VAGGERYD</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54530-2023</t>
        </is>
      </c>
      <c r="B338" t="inlineStr">
        <is>
          <t>avverkningsanmälan</t>
        </is>
      </c>
      <c r="C338" t="inlineStr">
        <is>
          <t>Föryngringsavverkning</t>
        </is>
      </c>
      <c r="D338" s="1" t="n">
        <v>45233</v>
      </c>
      <c r="E338" s="1" t="n">
        <v>46233</v>
      </c>
      <c r="F338" t="inlineStr">
        <is>
          <t>JÖNKÖPINGS LÄN</t>
        </is>
      </c>
      <c r="G338" t="inlineStr">
        <is>
          <t>VAGGERYD</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16913-2024</t>
        </is>
      </c>
      <c r="B339" t="inlineStr">
        <is>
          <t>avverkningsanmälan</t>
        </is>
      </c>
      <c r="C339" t="inlineStr">
        <is>
          <t>Föryngringsavverkning</t>
        </is>
      </c>
      <c r="D339" s="1" t="n">
        <v>45411</v>
      </c>
      <c r="E339" s="1" t="n">
        <v>46233</v>
      </c>
      <c r="F339" t="inlineStr">
        <is>
          <t>JÖNKÖPINGS LÄN</t>
        </is>
      </c>
      <c r="G339" t="inlineStr">
        <is>
          <t>VAGGERYD</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35703-2024</t>
        </is>
      </c>
      <c r="B340" t="inlineStr">
        <is>
          <t>avverkningsanmälan</t>
        </is>
      </c>
      <c r="C340" t="inlineStr">
        <is>
          <t>Föryngringsavverkning</t>
        </is>
      </c>
      <c r="D340" s="1" t="n">
        <v>45532</v>
      </c>
      <c r="E340" s="1" t="n">
        <v>46233</v>
      </c>
      <c r="F340" t="inlineStr">
        <is>
          <t>JÖNKÖPINGS LÄN</t>
        </is>
      </c>
      <c r="G340" t="inlineStr">
        <is>
          <t>VAGGERYD</t>
        </is>
      </c>
      <c r="I340" t="n">
        <v>5.4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46873-2024</t>
        </is>
      </c>
      <c r="B341" t="inlineStr">
        <is>
          <t>avverkningsanmälan</t>
        </is>
      </c>
      <c r="C341" t="inlineStr">
        <is>
          <t>Föryngringsavverkning</t>
        </is>
      </c>
      <c r="D341" s="1" t="n">
        <v>45583</v>
      </c>
      <c r="E341" s="1" t="n">
        <v>46233</v>
      </c>
      <c r="F341" t="inlineStr">
        <is>
          <t>JÖNKÖPINGS LÄN</t>
        </is>
      </c>
      <c r="G341" t="inlineStr">
        <is>
          <t>VAGGERYD</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40887-2024</t>
        </is>
      </c>
      <c r="B342" t="inlineStr">
        <is>
          <t>avverkningsanmälan</t>
        </is>
      </c>
      <c r="C342" t="inlineStr">
        <is>
          <t>Avverkning för att bevara och utveckla /försöksver</t>
        </is>
      </c>
      <c r="D342" s="1" t="n">
        <v>45558</v>
      </c>
      <c r="E342" s="1" t="n">
        <v>46233</v>
      </c>
      <c r="F342" t="inlineStr">
        <is>
          <t>JÖNKÖPINGS LÄN</t>
        </is>
      </c>
      <c r="G342" t="inlineStr">
        <is>
          <t>VAGGERYD</t>
        </is>
      </c>
      <c r="H342" t="inlineStr">
        <is>
          <t>Sveaskog</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21490-2022</t>
        </is>
      </c>
      <c r="B343" t="inlineStr">
        <is>
          <t>avverkningsanmälan</t>
        </is>
      </c>
      <c r="C343" t="inlineStr">
        <is>
          <t>Föryngringsavverkning</t>
        </is>
      </c>
      <c r="D343" s="1" t="n">
        <v>44706</v>
      </c>
      <c r="E343" s="1" t="n">
        <v>46233</v>
      </c>
      <c r="F343" t="inlineStr">
        <is>
          <t>JÖNKÖPINGS LÄN</t>
        </is>
      </c>
      <c r="G343" t="inlineStr">
        <is>
          <t>VAGGERYD</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59746-2022</t>
        </is>
      </c>
      <c r="B344" t="inlineStr">
        <is>
          <t>avverkningsanmälan</t>
        </is>
      </c>
      <c r="C344" t="inlineStr">
        <is>
          <t>Föryngringsavverkning</t>
        </is>
      </c>
      <c r="D344" s="1" t="n">
        <v>44900</v>
      </c>
      <c r="E344" s="1" t="n">
        <v>46233</v>
      </c>
      <c r="F344" t="inlineStr">
        <is>
          <t>JÖNKÖPINGS LÄN</t>
        </is>
      </c>
      <c r="G344" t="inlineStr">
        <is>
          <t>VAGGERYD</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15263-2024</t>
        </is>
      </c>
      <c r="B345" t="inlineStr">
        <is>
          <t>avverkningsanmälan</t>
        </is>
      </c>
      <c r="C345" t="inlineStr">
        <is>
          <t>Föryngringsavverkning</t>
        </is>
      </c>
      <c r="D345" s="1" t="n">
        <v>45400</v>
      </c>
      <c r="E345" s="1" t="n">
        <v>46233</v>
      </c>
      <c r="F345" t="inlineStr">
        <is>
          <t>JÖNKÖPINGS LÄN</t>
        </is>
      </c>
      <c r="G345" t="inlineStr">
        <is>
          <t>VAGGERYD</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53780-2021</t>
        </is>
      </c>
      <c r="B346" t="inlineStr">
        <is>
          <t>avverkningsanmälan</t>
        </is>
      </c>
      <c r="C346" t="inlineStr">
        <is>
          <t>Föryngringsavverkning</t>
        </is>
      </c>
      <c r="D346" s="1" t="n">
        <v>44469</v>
      </c>
      <c r="E346" s="1" t="n">
        <v>46233</v>
      </c>
      <c r="F346" t="inlineStr">
        <is>
          <t>JÖNKÖPINGS LÄN</t>
        </is>
      </c>
      <c r="G346" t="inlineStr">
        <is>
          <t>VAGGERYD</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31197-2022</t>
        </is>
      </c>
      <c r="B347" t="inlineStr">
        <is>
          <t>avverkningsanmälan</t>
        </is>
      </c>
      <c r="C347" t="inlineStr">
        <is>
          <t>Föryngringsavverkning</t>
        </is>
      </c>
      <c r="D347" s="1" t="n">
        <v>44770</v>
      </c>
      <c r="E347" s="1" t="n">
        <v>46233</v>
      </c>
      <c r="F347" t="inlineStr">
        <is>
          <t>JÖNKÖPINGS LÄN</t>
        </is>
      </c>
      <c r="G347" t="inlineStr">
        <is>
          <t>VAGGERYD</t>
        </is>
      </c>
      <c r="I347" t="n">
        <v>5.3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19435-2022</t>
        </is>
      </c>
      <c r="B348" t="inlineStr">
        <is>
          <t>avverkningsanmälan</t>
        </is>
      </c>
      <c r="C348" t="inlineStr">
        <is>
          <t>Föryngringsavverkning</t>
        </is>
      </c>
      <c r="D348" s="1" t="n">
        <v>44693</v>
      </c>
      <c r="E348" s="1" t="n">
        <v>46233</v>
      </c>
      <c r="F348" t="inlineStr">
        <is>
          <t>JÖNKÖPINGS LÄN</t>
        </is>
      </c>
      <c r="G348" t="inlineStr">
        <is>
          <t>VAGGERYD</t>
        </is>
      </c>
      <c r="H348" t="inlineStr">
        <is>
          <t>Övriga statliga verk och myndigheter</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13860-2024</t>
        </is>
      </c>
      <c r="B349" t="inlineStr">
        <is>
          <t>avverkningsanmälan</t>
        </is>
      </c>
      <c r="C349" t="inlineStr">
        <is>
          <t>Föryngringsavverkning</t>
        </is>
      </c>
      <c r="D349" s="1" t="n">
        <v>45390</v>
      </c>
      <c r="E349" s="1" t="n">
        <v>46233</v>
      </c>
      <c r="F349" t="inlineStr">
        <is>
          <t>JÖNKÖPINGS LÄN</t>
        </is>
      </c>
      <c r="G349" t="inlineStr">
        <is>
          <t>VAGGERYD</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24382-2022</t>
        </is>
      </c>
      <c r="B350" t="inlineStr">
        <is>
          <t>avverkningsanmälan</t>
        </is>
      </c>
      <c r="C350" t="inlineStr">
        <is>
          <t>Avverkning för annat ändamål</t>
        </is>
      </c>
      <c r="D350" s="1" t="n">
        <v>44726</v>
      </c>
      <c r="E350" s="1" t="n">
        <v>46233</v>
      </c>
      <c r="F350" t="inlineStr">
        <is>
          <t>JÖNKÖPINGS LÄN</t>
        </is>
      </c>
      <c r="G350" t="inlineStr">
        <is>
          <t>VAGGERYD</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30606-2026</t>
        </is>
      </c>
      <c r="B351" t="inlineStr">
        <is>
          <t>avverkningsanmälan</t>
        </is>
      </c>
      <c r="C351" t="inlineStr">
        <is>
          <t>Föryngringsavverkning</t>
        </is>
      </c>
      <c r="D351" s="1" t="n">
        <v>46210</v>
      </c>
      <c r="E351" s="1" t="n">
        <v>46233</v>
      </c>
      <c r="F351" t="inlineStr">
        <is>
          <t>JÖNKÖPINGS LÄN</t>
        </is>
      </c>
      <c r="G351" t="inlineStr">
        <is>
          <t>VAGGERYD</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20059-2024</t>
        </is>
      </c>
      <c r="B352" t="inlineStr">
        <is>
          <t>avverkningsanmälan</t>
        </is>
      </c>
      <c r="C352" t="inlineStr">
        <is>
          <t>Föryngringsavverkning</t>
        </is>
      </c>
      <c r="D352" s="1" t="n">
        <v>45434</v>
      </c>
      <c r="E352" s="1" t="n">
        <v>46233</v>
      </c>
      <c r="F352" t="inlineStr">
        <is>
          <t>JÖNKÖPINGS LÄN</t>
        </is>
      </c>
      <c r="G352" t="inlineStr">
        <is>
          <t>VAGGERYD</t>
        </is>
      </c>
      <c r="H352" t="inlineStr">
        <is>
          <t>Sveaskog</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57306-2022</t>
        </is>
      </c>
      <c r="B353" t="inlineStr">
        <is>
          <t>avverkningsanmälan</t>
        </is>
      </c>
      <c r="C353" t="inlineStr">
        <is>
          <t>Föryngringsavverkning</t>
        </is>
      </c>
      <c r="D353" s="1" t="n">
        <v>44896</v>
      </c>
      <c r="E353" s="1" t="n">
        <v>46233</v>
      </c>
      <c r="F353" t="inlineStr">
        <is>
          <t>JÖNKÖPINGS LÄN</t>
        </is>
      </c>
      <c r="G353" t="inlineStr">
        <is>
          <t>VAGGERYD</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30833-2026</t>
        </is>
      </c>
      <c r="B354" t="inlineStr">
        <is>
          <t>avverkningsanmälan</t>
        </is>
      </c>
      <c r="C354" t="inlineStr">
        <is>
          <t>Föryngringsavverkning</t>
        </is>
      </c>
      <c r="D354" s="1" t="n">
        <v>46212</v>
      </c>
      <c r="E354" s="1" t="n">
        <v>46233</v>
      </c>
      <c r="F354" t="inlineStr">
        <is>
          <t>JÖNKÖPINGS LÄN</t>
        </is>
      </c>
      <c r="G354" t="inlineStr">
        <is>
          <t>VAGGERYD</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40333-2023</t>
        </is>
      </c>
      <c r="B355" t="inlineStr">
        <is>
          <t>avverkningsanmälan</t>
        </is>
      </c>
      <c r="C355" t="inlineStr">
        <is>
          <t>Avverkning för annat ändamål</t>
        </is>
      </c>
      <c r="D355" s="1" t="n">
        <v>45169</v>
      </c>
      <c r="E355" s="1" t="n">
        <v>46233</v>
      </c>
      <c r="F355" t="inlineStr">
        <is>
          <t>JÖNKÖPINGS LÄN</t>
        </is>
      </c>
      <c r="G355" t="inlineStr">
        <is>
          <t>VAGGERYD</t>
        </is>
      </c>
      <c r="I355" t="n">
        <v>3.9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40858-2024</t>
        </is>
      </c>
      <c r="B356" t="inlineStr">
        <is>
          <t>avverkningsanmälan</t>
        </is>
      </c>
      <c r="C356" t="inlineStr">
        <is>
          <t>Föryngringsavverkning</t>
        </is>
      </c>
      <c r="D356" s="1" t="n">
        <v>45558</v>
      </c>
      <c r="E356" s="1" t="n">
        <v>46233</v>
      </c>
      <c r="F356" t="inlineStr">
        <is>
          <t>JÖNKÖPINGS LÄN</t>
        </is>
      </c>
      <c r="G356" t="inlineStr">
        <is>
          <t>VAGGERYD</t>
        </is>
      </c>
      <c r="H356" t="inlineStr">
        <is>
          <t>Sveaskog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4188-2023</t>
        </is>
      </c>
      <c r="B357" t="inlineStr">
        <is>
          <t>avverkningsanmälan</t>
        </is>
      </c>
      <c r="C357" t="inlineStr">
        <is>
          <t>Föryngringsavverkning</t>
        </is>
      </c>
      <c r="D357" s="1" t="n">
        <v>44953</v>
      </c>
      <c r="E357" s="1" t="n">
        <v>46233</v>
      </c>
      <c r="F357" t="inlineStr">
        <is>
          <t>JÖNKÖPINGS LÄN</t>
        </is>
      </c>
      <c r="G357" t="inlineStr">
        <is>
          <t>VAGGERYD</t>
        </is>
      </c>
      <c r="H357" t="inlineStr">
        <is>
          <t>Sveaskog</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31349-2025</t>
        </is>
      </c>
      <c r="B358" t="inlineStr">
        <is>
          <t>avverkningsanmälan</t>
        </is>
      </c>
      <c r="C358" t="inlineStr">
        <is>
          <t>Föryngringsavverkning</t>
        </is>
      </c>
      <c r="D358" s="1" t="n">
        <v>45832</v>
      </c>
      <c r="E358" s="1" t="n">
        <v>46233</v>
      </c>
      <c r="F358" t="inlineStr">
        <is>
          <t>JÖNKÖPINGS LÄN</t>
        </is>
      </c>
      <c r="G358" t="inlineStr">
        <is>
          <t>VAGGERYD</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14418-2023</t>
        </is>
      </c>
      <c r="B359" t="inlineStr">
        <is>
          <t>avverkningsanmälan</t>
        </is>
      </c>
      <c r="C359" t="inlineStr">
        <is>
          <t>Föryngringsavverkning</t>
        </is>
      </c>
      <c r="D359" s="1" t="n">
        <v>45012</v>
      </c>
      <c r="E359" s="1" t="n">
        <v>46233</v>
      </c>
      <c r="F359" t="inlineStr">
        <is>
          <t>JÖNKÖPINGS LÄN</t>
        </is>
      </c>
      <c r="G359" t="inlineStr">
        <is>
          <t>VAGGERYD</t>
        </is>
      </c>
      <c r="I359" t="n">
        <v>6.7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14422-2023</t>
        </is>
      </c>
      <c r="B360" t="inlineStr">
        <is>
          <t>avverkningsanmälan</t>
        </is>
      </c>
      <c r="C360" t="inlineStr">
        <is>
          <t>Föryngringsavverkning</t>
        </is>
      </c>
      <c r="D360" s="1" t="n">
        <v>45012</v>
      </c>
      <c r="E360" s="1" t="n">
        <v>46233</v>
      </c>
      <c r="F360" t="inlineStr">
        <is>
          <t>JÖNKÖPINGS LÄN</t>
        </is>
      </c>
      <c r="G360" t="inlineStr">
        <is>
          <t>VAGGERYD</t>
        </is>
      </c>
      <c r="I360" t="n">
        <v>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7555-2023</t>
        </is>
      </c>
      <c r="B361" t="inlineStr">
        <is>
          <t>avverkningsanmälan</t>
        </is>
      </c>
      <c r="C361" t="inlineStr">
        <is>
          <t>Föryngringsavverkning</t>
        </is>
      </c>
      <c r="D361" s="1" t="n">
        <v>44972</v>
      </c>
      <c r="E361" s="1" t="n">
        <v>46233</v>
      </c>
      <c r="F361" t="inlineStr">
        <is>
          <t>JÖNKÖPINGS LÄN</t>
        </is>
      </c>
      <c r="G361" t="inlineStr">
        <is>
          <t>VAGGERYD</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59187-2022</t>
        </is>
      </c>
      <c r="B362" t="inlineStr">
        <is>
          <t>avverkningsanmälan</t>
        </is>
      </c>
      <c r="C362" t="inlineStr">
        <is>
          <t>Föryngringsavverkning</t>
        </is>
      </c>
      <c r="D362" s="1" t="n">
        <v>44904</v>
      </c>
      <c r="E362" s="1" t="n">
        <v>46233</v>
      </c>
      <c r="F362" t="inlineStr">
        <is>
          <t>JÖNKÖPINGS LÄN</t>
        </is>
      </c>
      <c r="G362" t="inlineStr">
        <is>
          <t>VAGGERYD</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60326-2022</t>
        </is>
      </c>
      <c r="B363" t="inlineStr">
        <is>
          <t>avverkningsanmälan</t>
        </is>
      </c>
      <c r="C363" t="inlineStr">
        <is>
          <t>Föryngringsavverkning</t>
        </is>
      </c>
      <c r="D363" s="1" t="n">
        <v>44910</v>
      </c>
      <c r="E363" s="1" t="n">
        <v>46233</v>
      </c>
      <c r="F363" t="inlineStr">
        <is>
          <t>JÖNKÖPINGS LÄN</t>
        </is>
      </c>
      <c r="G363" t="inlineStr">
        <is>
          <t>VAGGERYD</t>
        </is>
      </c>
      <c r="H363" t="inlineStr">
        <is>
          <t>Sveaskog</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35459-2024</t>
        </is>
      </c>
      <c r="B364" t="inlineStr">
        <is>
          <t>avverkningsanmälan</t>
        </is>
      </c>
      <c r="C364" t="inlineStr">
        <is>
          <t>Föryngringsavverkning</t>
        </is>
      </c>
      <c r="D364" s="1" t="n">
        <v>45531</v>
      </c>
      <c r="E364" s="1" t="n">
        <v>46233</v>
      </c>
      <c r="F364" t="inlineStr">
        <is>
          <t>JÖNKÖPINGS LÄN</t>
        </is>
      </c>
      <c r="G364" t="inlineStr">
        <is>
          <t>VAGGERYD</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3221-2023</t>
        </is>
      </c>
      <c r="B365" t="inlineStr">
        <is>
          <t>avverkningsanmälan</t>
        </is>
      </c>
      <c r="C365" t="inlineStr">
        <is>
          <t>Avverkning för annat ändamål</t>
        </is>
      </c>
      <c r="D365" s="1" t="n">
        <v>44946</v>
      </c>
      <c r="E365" s="1" t="n">
        <v>46233</v>
      </c>
      <c r="F365" t="inlineStr">
        <is>
          <t>JÖNKÖPINGS LÄN</t>
        </is>
      </c>
      <c r="G365" t="inlineStr">
        <is>
          <t>VAGGERYD</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58925-2024</t>
        </is>
      </c>
      <c r="B366" t="inlineStr">
        <is>
          <t>avverkningsanmälan</t>
        </is>
      </c>
      <c r="C366" t="inlineStr">
        <is>
          <t>Avverkning för att bevara och utveckla /försöksver</t>
        </is>
      </c>
      <c r="D366" s="1" t="n">
        <v>45636</v>
      </c>
      <c r="E366" s="1" t="n">
        <v>46233</v>
      </c>
      <c r="F366" t="inlineStr">
        <is>
          <t>JÖNKÖPINGS LÄN</t>
        </is>
      </c>
      <c r="G366" t="inlineStr">
        <is>
          <t>VAGGERYD</t>
        </is>
      </c>
      <c r="H366" t="inlineStr">
        <is>
          <t>Sveaskog</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51264-2022</t>
        </is>
      </c>
      <c r="B367" t="inlineStr">
        <is>
          <t>avverkningsanmälan</t>
        </is>
      </c>
      <c r="C367" t="inlineStr">
        <is>
          <t>Föryngringsavverkning</t>
        </is>
      </c>
      <c r="D367" s="1" t="n">
        <v>44866</v>
      </c>
      <c r="E367" s="1" t="n">
        <v>46233</v>
      </c>
      <c r="F367" t="inlineStr">
        <is>
          <t>JÖNKÖPINGS LÄN</t>
        </is>
      </c>
      <c r="G367" t="inlineStr">
        <is>
          <t>VAGGERYD</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56467-2023</t>
        </is>
      </c>
      <c r="B368" t="inlineStr">
        <is>
          <t>avverkningsanmälan</t>
        </is>
      </c>
      <c r="C368" t="inlineStr">
        <is>
          <t>Föryngringsavverkning</t>
        </is>
      </c>
      <c r="D368" s="1" t="n">
        <v>45243</v>
      </c>
      <c r="E368" s="1" t="n">
        <v>46233</v>
      </c>
      <c r="F368" t="inlineStr">
        <is>
          <t>JÖNKÖPINGS LÄN</t>
        </is>
      </c>
      <c r="G368" t="inlineStr">
        <is>
          <t>VAGGERYD</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19885-2023</t>
        </is>
      </c>
      <c r="B369" t="inlineStr">
        <is>
          <t>avverkningsanmälan</t>
        </is>
      </c>
      <c r="C369" t="inlineStr">
        <is>
          <t>Föryngringsavverkning</t>
        </is>
      </c>
      <c r="D369" s="1" t="n">
        <v>45054</v>
      </c>
      <c r="E369" s="1" t="n">
        <v>46233</v>
      </c>
      <c r="F369" t="inlineStr">
        <is>
          <t>JÖNKÖPINGS LÄN</t>
        </is>
      </c>
      <c r="G369" t="inlineStr">
        <is>
          <t>VAGGERYD</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19889-2023</t>
        </is>
      </c>
      <c r="B370" t="inlineStr">
        <is>
          <t>avverkningsanmälan</t>
        </is>
      </c>
      <c r="C370" t="inlineStr">
        <is>
          <t>Föryngringsavverkning</t>
        </is>
      </c>
      <c r="D370" s="1" t="n">
        <v>45054</v>
      </c>
      <c r="E370" s="1" t="n">
        <v>46233</v>
      </c>
      <c r="F370" t="inlineStr">
        <is>
          <t>JÖNKÖPINGS LÄN</t>
        </is>
      </c>
      <c r="G370" t="inlineStr">
        <is>
          <t>VAGGERYD</t>
        </is>
      </c>
      <c r="I370" t="n">
        <v>3.6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40685-2022</t>
        </is>
      </c>
      <c r="B371" t="inlineStr">
        <is>
          <t>avverkningsanmälan</t>
        </is>
      </c>
      <c r="C371" t="inlineStr">
        <is>
          <t>Föryngringsavverkning</t>
        </is>
      </c>
      <c r="D371" s="1" t="n">
        <v>44824</v>
      </c>
      <c r="E371" s="1" t="n">
        <v>46233</v>
      </c>
      <c r="F371" t="inlineStr">
        <is>
          <t>JÖNKÖPINGS LÄN</t>
        </is>
      </c>
      <c r="G371" t="inlineStr">
        <is>
          <t>VAGGERYD</t>
        </is>
      </c>
      <c r="I371" t="n">
        <v>5.2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59553-2023</t>
        </is>
      </c>
      <c r="B372" t="inlineStr">
        <is>
          <t>avverkningsanmälan</t>
        </is>
      </c>
      <c r="C372" t="inlineStr">
        <is>
          <t>Föryngringsavverkning</t>
        </is>
      </c>
      <c r="D372" s="1" t="n">
        <v>45254</v>
      </c>
      <c r="E372" s="1" t="n">
        <v>46233</v>
      </c>
      <c r="F372" t="inlineStr">
        <is>
          <t>JÖNKÖPINGS LÄN</t>
        </is>
      </c>
      <c r="G372" t="inlineStr">
        <is>
          <t>VAGGERYD</t>
        </is>
      </c>
      <c r="H372" t="inlineStr">
        <is>
          <t>Sveaskog</t>
        </is>
      </c>
      <c r="I372" t="n">
        <v>4.9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8690-2024</t>
        </is>
      </c>
      <c r="B373" t="inlineStr">
        <is>
          <t>avverkningsanmälan</t>
        </is>
      </c>
      <c r="C373" t="inlineStr">
        <is>
          <t>Föryngringsavverkning</t>
        </is>
      </c>
      <c r="D373" s="1" t="n">
        <v>45356</v>
      </c>
      <c r="E373" s="1" t="n">
        <v>46233</v>
      </c>
      <c r="F373" t="inlineStr">
        <is>
          <t>JÖNKÖPINGS LÄN</t>
        </is>
      </c>
      <c r="G373" t="inlineStr">
        <is>
          <t>VAGGERYD</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9507-2024</t>
        </is>
      </c>
      <c r="B374" t="inlineStr">
        <is>
          <t>avverkningsanmälan</t>
        </is>
      </c>
      <c r="C374" t="inlineStr">
        <is>
          <t>Föryngringsavverkning</t>
        </is>
      </c>
      <c r="D374" s="1" t="n">
        <v>45359</v>
      </c>
      <c r="E374" s="1" t="n">
        <v>46233</v>
      </c>
      <c r="F374" t="inlineStr">
        <is>
          <t>JÖNKÖPINGS LÄN</t>
        </is>
      </c>
      <c r="G374" t="inlineStr">
        <is>
          <t>VAGGERYD</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36748-2023</t>
        </is>
      </c>
      <c r="B375" t="inlineStr">
        <is>
          <t>avverkningsanmälan</t>
        </is>
      </c>
      <c r="C375" t="inlineStr">
        <is>
          <t>Föryngringsavverkning</t>
        </is>
      </c>
      <c r="D375" s="1" t="n">
        <v>45153</v>
      </c>
      <c r="E375" s="1" t="n">
        <v>46233</v>
      </c>
      <c r="F375" t="inlineStr">
        <is>
          <t>JÖNKÖPINGS LÄN</t>
        </is>
      </c>
      <c r="G375" t="inlineStr">
        <is>
          <t>VAGGERYD</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16611-2025</t>
        </is>
      </c>
      <c r="B376" t="inlineStr">
        <is>
          <t>avverkningsanmälan</t>
        </is>
      </c>
      <c r="C376" t="inlineStr">
        <is>
          <t>Föryngringsavverkning</t>
        </is>
      </c>
      <c r="D376" s="1" t="n">
        <v>45753</v>
      </c>
      <c r="E376" s="1" t="n">
        <v>46233</v>
      </c>
      <c r="F376" t="inlineStr">
        <is>
          <t>JÖNKÖPINGS LÄN</t>
        </is>
      </c>
      <c r="G376" t="inlineStr">
        <is>
          <t>VAGGERYD</t>
        </is>
      </c>
      <c r="H376" t="inlineStr">
        <is>
          <t>Sveaskog</t>
        </is>
      </c>
      <c r="I376" t="n">
        <v>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35036-2023</t>
        </is>
      </c>
      <c r="B377" t="inlineStr">
        <is>
          <t>avverkningsanmälan</t>
        </is>
      </c>
      <c r="C377" t="inlineStr">
        <is>
          <t>Föryngringsavverkning</t>
        </is>
      </c>
      <c r="D377" s="1" t="n">
        <v>45145</v>
      </c>
      <c r="E377" s="1" t="n">
        <v>46233</v>
      </c>
      <c r="F377" t="inlineStr">
        <is>
          <t>JÖNKÖPINGS LÄN</t>
        </is>
      </c>
      <c r="G377" t="inlineStr">
        <is>
          <t>VAGGERYD</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19116-2023</t>
        </is>
      </c>
      <c r="B378" t="inlineStr">
        <is>
          <t>avverkningsanmälan</t>
        </is>
      </c>
      <c r="C378" t="inlineStr">
        <is>
          <t>Föryngringsavverkning</t>
        </is>
      </c>
      <c r="D378" s="1" t="n">
        <v>45048</v>
      </c>
      <c r="E378" s="1" t="n">
        <v>46233</v>
      </c>
      <c r="F378" t="inlineStr">
        <is>
          <t>JÖNKÖPINGS LÄN</t>
        </is>
      </c>
      <c r="G378" t="inlineStr">
        <is>
          <t>VAGGERYD</t>
        </is>
      </c>
      <c r="I378" t="n">
        <v>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51747-2024</t>
        </is>
      </c>
      <c r="B379" t="inlineStr">
        <is>
          <t>avverkningsanmälan</t>
        </is>
      </c>
      <c r="C379" t="inlineStr">
        <is>
          <t>Föryngringsavverkning</t>
        </is>
      </c>
      <c r="D379" s="1" t="n">
        <v>45607</v>
      </c>
      <c r="E379" s="1" t="n">
        <v>46233</v>
      </c>
      <c r="F379" t="inlineStr">
        <is>
          <t>JÖNKÖPINGS LÄN</t>
        </is>
      </c>
      <c r="G379" t="inlineStr">
        <is>
          <t>VAGGERYD</t>
        </is>
      </c>
      <c r="H379" t="inlineStr">
        <is>
          <t>Sveaskog</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36328-2023</t>
        </is>
      </c>
      <c r="B380" t="inlineStr">
        <is>
          <t>avverkningsanmälan</t>
        </is>
      </c>
      <c r="C380" t="inlineStr">
        <is>
          <t>Avverkning för annat ändamål</t>
        </is>
      </c>
      <c r="D380" s="1" t="n">
        <v>45149</v>
      </c>
      <c r="E380" s="1" t="n">
        <v>46233</v>
      </c>
      <c r="F380" t="inlineStr">
        <is>
          <t>JÖNKÖPINGS LÄN</t>
        </is>
      </c>
      <c r="G380" t="inlineStr">
        <is>
          <t>VAGGERYD</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67224-2021</t>
        </is>
      </c>
      <c r="B381" t="inlineStr">
        <is>
          <t>avverkningsanmälan</t>
        </is>
      </c>
      <c r="C381" t="inlineStr">
        <is>
          <t>Föryngringsavverkning</t>
        </is>
      </c>
      <c r="D381" s="1" t="n">
        <v>44523</v>
      </c>
      <c r="E381" s="1" t="n">
        <v>46233</v>
      </c>
      <c r="F381" t="inlineStr">
        <is>
          <t>JÖNKÖPINGS LÄN</t>
        </is>
      </c>
      <c r="G381" t="inlineStr">
        <is>
          <t>VAGGERYD</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57993-2023</t>
        </is>
      </c>
      <c r="B382" t="inlineStr">
        <is>
          <t>avverkningsanmälan</t>
        </is>
      </c>
      <c r="C382" t="inlineStr">
        <is>
          <t>Föryngringsavverkning</t>
        </is>
      </c>
      <c r="D382" s="1" t="n">
        <v>45247</v>
      </c>
      <c r="E382" s="1" t="n">
        <v>46233</v>
      </c>
      <c r="F382" t="inlineStr">
        <is>
          <t>JÖNKÖPINGS LÄN</t>
        </is>
      </c>
      <c r="G382" t="inlineStr">
        <is>
          <t>VAGGERYD</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50379-2022</t>
        </is>
      </c>
      <c r="B383" t="inlineStr">
        <is>
          <t>avverkningsanmälan</t>
        </is>
      </c>
      <c r="C383" t="inlineStr">
        <is>
          <t>Föryngringsavverkning</t>
        </is>
      </c>
      <c r="D383" s="1" t="n">
        <v>44866</v>
      </c>
      <c r="E383" s="1" t="n">
        <v>46233</v>
      </c>
      <c r="F383" t="inlineStr">
        <is>
          <t>JÖNKÖPINGS LÄN</t>
        </is>
      </c>
      <c r="G383" t="inlineStr">
        <is>
          <t>VAGGERYD</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12876-2024</t>
        </is>
      </c>
      <c r="B384" t="inlineStr">
        <is>
          <t>avverkningsanmälan</t>
        </is>
      </c>
      <c r="C384" t="inlineStr">
        <is>
          <t>Föryngringsavverkning</t>
        </is>
      </c>
      <c r="D384" s="1" t="n">
        <v>45385</v>
      </c>
      <c r="E384" s="1" t="n">
        <v>46233</v>
      </c>
      <c r="F384" t="inlineStr">
        <is>
          <t>JÖNKÖPINGS LÄN</t>
        </is>
      </c>
      <c r="G384" t="inlineStr">
        <is>
          <t>VAGGERYD</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53698-2022</t>
        </is>
      </c>
      <c r="B385" t="inlineStr">
        <is>
          <t>avverkningsanmälan</t>
        </is>
      </c>
      <c r="C385" t="inlineStr">
        <is>
          <t>Föryngringsavverkning</t>
        </is>
      </c>
      <c r="D385" s="1" t="n">
        <v>44880</v>
      </c>
      <c r="E385" s="1" t="n">
        <v>46233</v>
      </c>
      <c r="F385" t="inlineStr">
        <is>
          <t>JÖNKÖPINGS LÄN</t>
        </is>
      </c>
      <c r="G385" t="inlineStr">
        <is>
          <t>VAGGERYD</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40346-2023</t>
        </is>
      </c>
      <c r="B386" t="inlineStr">
        <is>
          <t>avverkningsanmälan</t>
        </is>
      </c>
      <c r="C386" t="inlineStr">
        <is>
          <t>Föryngringsavverkning</t>
        </is>
      </c>
      <c r="D386" s="1" t="n">
        <v>45169</v>
      </c>
      <c r="E386" s="1" t="n">
        <v>46233</v>
      </c>
      <c r="F386" t="inlineStr">
        <is>
          <t>JÖNKÖPINGS LÄN</t>
        </is>
      </c>
      <c r="G386" t="inlineStr">
        <is>
          <t>VAGGERYD</t>
        </is>
      </c>
      <c r="I386" t="n">
        <v>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18703-2025</t>
        </is>
      </c>
      <c r="B387" t="inlineStr">
        <is>
          <t>avverkningsanmälan</t>
        </is>
      </c>
      <c r="C387" t="inlineStr">
        <is>
          <t>Föryngringsavverkning</t>
        </is>
      </c>
      <c r="D387" s="1" t="n">
        <v>45763</v>
      </c>
      <c r="E387" s="1" t="n">
        <v>46233</v>
      </c>
      <c r="F387" t="inlineStr">
        <is>
          <t>JÖNKÖPINGS LÄN</t>
        </is>
      </c>
      <c r="G387" t="inlineStr">
        <is>
          <t>VAGGERYD</t>
        </is>
      </c>
      <c r="H387" t="inlineStr">
        <is>
          <t>Sveaskog</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18706-2025</t>
        </is>
      </c>
      <c r="B388" t="inlineStr">
        <is>
          <t>avverkningsanmälan</t>
        </is>
      </c>
      <c r="C388" t="inlineStr">
        <is>
          <t>Föryngringsavverkning</t>
        </is>
      </c>
      <c r="D388" s="1" t="n">
        <v>45763</v>
      </c>
      <c r="E388" s="1" t="n">
        <v>46233</v>
      </c>
      <c r="F388" t="inlineStr">
        <is>
          <t>JÖNKÖPINGS LÄN</t>
        </is>
      </c>
      <c r="G388" t="inlineStr">
        <is>
          <t>VAGGERYD</t>
        </is>
      </c>
      <c r="H388" t="inlineStr">
        <is>
          <t>Sveaskog</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19792-2023</t>
        </is>
      </c>
      <c r="B389" t="inlineStr">
        <is>
          <t>avverkningsanmälan</t>
        </is>
      </c>
      <c r="C389" t="inlineStr">
        <is>
          <t>Föryngringsavverkning</t>
        </is>
      </c>
      <c r="D389" s="1" t="n">
        <v>45051</v>
      </c>
      <c r="E389" s="1" t="n">
        <v>46233</v>
      </c>
      <c r="F389" t="inlineStr">
        <is>
          <t>JÖNKÖPINGS LÄN</t>
        </is>
      </c>
      <c r="G389" t="inlineStr">
        <is>
          <t>VAGGERYD</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24523-2024</t>
        </is>
      </c>
      <c r="B390" t="inlineStr">
        <is>
          <t>avverkningsanmälan</t>
        </is>
      </c>
      <c r="C390" t="inlineStr">
        <is>
          <t>Föryngringsavverkning</t>
        </is>
      </c>
      <c r="D390" s="1" t="n">
        <v>45460</v>
      </c>
      <c r="E390" s="1" t="n">
        <v>46233</v>
      </c>
      <c r="F390" t="inlineStr">
        <is>
          <t>JÖNKÖPINGS LÄN</t>
        </is>
      </c>
      <c r="G390" t="inlineStr">
        <is>
          <t>VAGGERYD</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28896-2023</t>
        </is>
      </c>
      <c r="B391" t="inlineStr">
        <is>
          <t>avverkningsanmälan</t>
        </is>
      </c>
      <c r="C391" t="inlineStr">
        <is>
          <t>Avverkning för att bevara och utveckla /försöksver</t>
        </is>
      </c>
      <c r="D391" s="1" t="n">
        <v>45104</v>
      </c>
      <c r="E391" s="1" t="n">
        <v>46233</v>
      </c>
      <c r="F391" t="inlineStr">
        <is>
          <t>JÖNKÖPINGS LÄN</t>
        </is>
      </c>
      <c r="G391" t="inlineStr">
        <is>
          <t>VAGGERYD</t>
        </is>
      </c>
      <c r="H391" t="inlineStr">
        <is>
          <t>Sveaskog</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27470-2026</t>
        </is>
      </c>
      <c r="B392" t="inlineStr">
        <is>
          <t>avverkningsanmälan</t>
        </is>
      </c>
      <c r="C392" t="inlineStr">
        <is>
          <t>Föryngringsavverkning</t>
        </is>
      </c>
      <c r="D392" s="1" t="n">
        <v>46189</v>
      </c>
      <c r="E392" s="1" t="n">
        <v>46233</v>
      </c>
      <c r="F392" t="inlineStr">
        <is>
          <t>JÖNKÖPINGS LÄN</t>
        </is>
      </c>
      <c r="G392" t="inlineStr">
        <is>
          <t>VAGGERYD</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27471-2026</t>
        </is>
      </c>
      <c r="B393" t="inlineStr">
        <is>
          <t>avverkningsanmälan</t>
        </is>
      </c>
      <c r="C393" t="inlineStr">
        <is>
          <t>Föryngringsavverkning</t>
        </is>
      </c>
      <c r="D393" s="1" t="n">
        <v>46189</v>
      </c>
      <c r="E393" s="1" t="n">
        <v>46233</v>
      </c>
      <c r="F393" t="inlineStr">
        <is>
          <t>JÖNKÖPINGS LÄN</t>
        </is>
      </c>
      <c r="G393" t="inlineStr">
        <is>
          <t>VAGGERYD</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223-2023</t>
        </is>
      </c>
      <c r="B394" t="inlineStr">
        <is>
          <t>avverkningsanmälan</t>
        </is>
      </c>
      <c r="C394" t="inlineStr">
        <is>
          <t>Föryngringsavverkning</t>
        </is>
      </c>
      <c r="D394" s="1" t="n">
        <v>44928</v>
      </c>
      <c r="E394" s="1" t="n">
        <v>46233</v>
      </c>
      <c r="F394" t="inlineStr">
        <is>
          <t>JÖNKÖPINGS LÄN</t>
        </is>
      </c>
      <c r="G394" t="inlineStr">
        <is>
          <t>VAGGERYD</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45423-2023</t>
        </is>
      </c>
      <c r="B395" t="inlineStr">
        <is>
          <t>avverkningsanmälan</t>
        </is>
      </c>
      <c r="C395" t="inlineStr">
        <is>
          <t>Föryngringsavverkning</t>
        </is>
      </c>
      <c r="D395" s="1" t="n">
        <v>45194</v>
      </c>
      <c r="E395" s="1" t="n">
        <v>46233</v>
      </c>
      <c r="F395" t="inlineStr">
        <is>
          <t>JÖNKÖPINGS LÄN</t>
        </is>
      </c>
      <c r="G395" t="inlineStr">
        <is>
          <t>VAGGERYD</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13107-2023</t>
        </is>
      </c>
      <c r="B396" t="inlineStr">
        <is>
          <t>avverkningsanmälan</t>
        </is>
      </c>
      <c r="C396" t="inlineStr">
        <is>
          <t>Föryngringsavverkning</t>
        </is>
      </c>
      <c r="D396" s="1" t="n">
        <v>45002</v>
      </c>
      <c r="E396" s="1" t="n">
        <v>46233</v>
      </c>
      <c r="F396" t="inlineStr">
        <is>
          <t>JÖNKÖPINGS LÄN</t>
        </is>
      </c>
      <c r="G396" t="inlineStr">
        <is>
          <t>VAGGERYD</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43052-2024</t>
        </is>
      </c>
      <c r="B397" t="inlineStr">
        <is>
          <t>avverkningsanmälan</t>
        </is>
      </c>
      <c r="C397" t="inlineStr">
        <is>
          <t>Föryngringsavverkning</t>
        </is>
      </c>
      <c r="D397" s="1" t="n">
        <v>45567</v>
      </c>
      <c r="E397" s="1" t="n">
        <v>46233</v>
      </c>
      <c r="F397" t="inlineStr">
        <is>
          <t>JÖNKÖPINGS LÄN</t>
        </is>
      </c>
      <c r="G397" t="inlineStr">
        <is>
          <t>VAGGERYD</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17302-2022</t>
        </is>
      </c>
      <c r="B398" t="inlineStr">
        <is>
          <t>avverkningsanmälan</t>
        </is>
      </c>
      <c r="C398" t="inlineStr">
        <is>
          <t>Föryngringsavverkning</t>
        </is>
      </c>
      <c r="D398" s="1" t="n">
        <v>44678</v>
      </c>
      <c r="E398" s="1" t="n">
        <v>46233</v>
      </c>
      <c r="F398" t="inlineStr">
        <is>
          <t>JÖNKÖPINGS LÄN</t>
        </is>
      </c>
      <c r="G398" t="inlineStr">
        <is>
          <t>VAGGERYD</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11588-2024</t>
        </is>
      </c>
      <c r="B399" t="inlineStr">
        <is>
          <t>avverkningsanmälan</t>
        </is>
      </c>
      <c r="C399" t="inlineStr">
        <is>
          <t>Föryngringsavverkning</t>
        </is>
      </c>
      <c r="D399" s="1" t="n">
        <v>45373</v>
      </c>
      <c r="E399" s="1" t="n">
        <v>46233</v>
      </c>
      <c r="F399" t="inlineStr">
        <is>
          <t>JÖNKÖPINGS LÄN</t>
        </is>
      </c>
      <c r="G399" t="inlineStr">
        <is>
          <t>VAGGERYD</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25620-2024</t>
        </is>
      </c>
      <c r="B400" t="inlineStr">
        <is>
          <t>avverkningsanmälan</t>
        </is>
      </c>
      <c r="C400" t="inlineStr">
        <is>
          <t>Föryngringsavverkning</t>
        </is>
      </c>
      <c r="D400" s="1" t="n">
        <v>45463</v>
      </c>
      <c r="E400" s="1" t="n">
        <v>46233</v>
      </c>
      <c r="F400" t="inlineStr">
        <is>
          <t>JÖNKÖPINGS LÄN</t>
        </is>
      </c>
      <c r="G400" t="inlineStr">
        <is>
          <t>VAGGERYD</t>
        </is>
      </c>
      <c r="H400" t="inlineStr">
        <is>
          <t>Sveaskog</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58627-2024</t>
        </is>
      </c>
      <c r="B401" t="inlineStr">
        <is>
          <t>avverkningsanmälan</t>
        </is>
      </c>
      <c r="C401" t="inlineStr">
        <is>
          <t>Föryngringsavverkning</t>
        </is>
      </c>
      <c r="D401" s="1" t="n">
        <v>45635</v>
      </c>
      <c r="E401" s="1" t="n">
        <v>46233</v>
      </c>
      <c r="F401" t="inlineStr">
        <is>
          <t>JÖNKÖPINGS LÄN</t>
        </is>
      </c>
      <c r="G401" t="inlineStr">
        <is>
          <t>VAGGERYD</t>
        </is>
      </c>
      <c r="H401" t="inlineStr">
        <is>
          <t>Sveaskog</t>
        </is>
      </c>
      <c r="I401" t="n">
        <v>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15926-2025</t>
        </is>
      </c>
      <c r="B402" t="inlineStr">
        <is>
          <t>avverkningsanmälan</t>
        </is>
      </c>
      <c r="C402" t="inlineStr">
        <is>
          <t>Föryngringsavverkning</t>
        </is>
      </c>
      <c r="D402" s="1" t="n">
        <v>45749</v>
      </c>
      <c r="E402" s="1" t="n">
        <v>46233</v>
      </c>
      <c r="F402" t="inlineStr">
        <is>
          <t>JÖNKÖPINGS LÄN</t>
        </is>
      </c>
      <c r="G402" t="inlineStr">
        <is>
          <t>VAGGERYD</t>
        </is>
      </c>
      <c r="H402" t="inlineStr">
        <is>
          <t>Sveaskog</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15943-2025</t>
        </is>
      </c>
      <c r="B403" t="inlineStr">
        <is>
          <t>avverkningsanmälan</t>
        </is>
      </c>
      <c r="C403" t="inlineStr">
        <is>
          <t>Föryngringsavverkning</t>
        </is>
      </c>
      <c r="D403" s="1" t="n">
        <v>45749</v>
      </c>
      <c r="E403" s="1" t="n">
        <v>46233</v>
      </c>
      <c r="F403" t="inlineStr">
        <is>
          <t>JÖNKÖPINGS LÄN</t>
        </is>
      </c>
      <c r="G403" t="inlineStr">
        <is>
          <t>VAGGERYD</t>
        </is>
      </c>
      <c r="H403" t="inlineStr">
        <is>
          <t>Sveaskog</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30915-2024</t>
        </is>
      </c>
      <c r="B404" t="inlineStr">
        <is>
          <t>avverkningsanmälan</t>
        </is>
      </c>
      <c r="C404" t="inlineStr">
        <is>
          <t>Föryngringsavverkning</t>
        </is>
      </c>
      <c r="D404" s="1" t="n">
        <v>45498</v>
      </c>
      <c r="E404" s="1" t="n">
        <v>46233</v>
      </c>
      <c r="F404" t="inlineStr">
        <is>
          <t>JÖNKÖPINGS LÄN</t>
        </is>
      </c>
      <c r="G404" t="inlineStr">
        <is>
          <t>VAGGERYD</t>
        </is>
      </c>
      <c r="H404" t="inlineStr">
        <is>
          <t>Sveaskog</t>
        </is>
      </c>
      <c r="I404" t="n">
        <v>4.6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22767-2024</t>
        </is>
      </c>
      <c r="B405" t="inlineStr">
        <is>
          <t>avverkningsanmälan</t>
        </is>
      </c>
      <c r="C405" t="inlineStr">
        <is>
          <t>Föryngringsavverkning</t>
        </is>
      </c>
      <c r="D405" s="1" t="n">
        <v>45448</v>
      </c>
      <c r="E405" s="1" t="n">
        <v>46233</v>
      </c>
      <c r="F405" t="inlineStr">
        <is>
          <t>JÖNKÖPINGS LÄN</t>
        </is>
      </c>
      <c r="G405" t="inlineStr">
        <is>
          <t>VAGGERYD</t>
        </is>
      </c>
      <c r="H405" t="inlineStr">
        <is>
          <t>Sveaskog</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16560-2025</t>
        </is>
      </c>
      <c r="B406" t="inlineStr">
        <is>
          <t>avverkningsanmälan</t>
        </is>
      </c>
      <c r="C406" t="inlineStr">
        <is>
          <t>Föryngringsavverkning</t>
        </is>
      </c>
      <c r="D406" s="1" t="n">
        <v>45751</v>
      </c>
      <c r="E406" s="1" t="n">
        <v>46233</v>
      </c>
      <c r="F406" t="inlineStr">
        <is>
          <t>JÖNKÖPINGS LÄN</t>
        </is>
      </c>
      <c r="G406" t="inlineStr">
        <is>
          <t>VAGGERYD</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9229-2024</t>
        </is>
      </c>
      <c r="B407" t="inlineStr">
        <is>
          <t>avverkningsanmälan</t>
        </is>
      </c>
      <c r="C407" t="inlineStr">
        <is>
          <t>Föryngringsavverkning</t>
        </is>
      </c>
      <c r="D407" s="1" t="n">
        <v>45357</v>
      </c>
      <c r="E407" s="1" t="n">
        <v>46233</v>
      </c>
      <c r="F407" t="inlineStr">
        <is>
          <t>JÖNKÖPINGS LÄN</t>
        </is>
      </c>
      <c r="G407" t="inlineStr">
        <is>
          <t>VAGGERYD</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58612-2024</t>
        </is>
      </c>
      <c r="B408" t="inlineStr">
        <is>
          <t>avverkningsanmälan</t>
        </is>
      </c>
      <c r="C408" t="inlineStr">
        <is>
          <t>Föryngringsavverkning</t>
        </is>
      </c>
      <c r="D408" s="1" t="n">
        <v>45635</v>
      </c>
      <c r="E408" s="1" t="n">
        <v>46233</v>
      </c>
      <c r="F408" t="inlineStr">
        <is>
          <t>JÖNKÖPINGS LÄN</t>
        </is>
      </c>
      <c r="G408" t="inlineStr">
        <is>
          <t>VAGGERYD</t>
        </is>
      </c>
      <c r="H408" t="inlineStr">
        <is>
          <t>Sveaskog</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11035-2024</t>
        </is>
      </c>
      <c r="B409" t="inlineStr">
        <is>
          <t>avverkningsanmälan</t>
        </is>
      </c>
      <c r="C409" t="inlineStr">
        <is>
          <t>Föryngringsavverkning</t>
        </is>
      </c>
      <c r="D409" s="1" t="n">
        <v>45370</v>
      </c>
      <c r="E409" s="1" t="n">
        <v>46233</v>
      </c>
      <c r="F409" t="inlineStr">
        <is>
          <t>JÖNKÖPINGS LÄN</t>
        </is>
      </c>
      <c r="G409" t="inlineStr">
        <is>
          <t>VAGGERYD</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40691-2023</t>
        </is>
      </c>
      <c r="B410" t="inlineStr">
        <is>
          <t>avverkningsanmälan</t>
        </is>
      </c>
      <c r="C410" t="inlineStr">
        <is>
          <t>Föryngringsavverkning</t>
        </is>
      </c>
      <c r="D410" s="1" t="n">
        <v>45169</v>
      </c>
      <c r="E410" s="1" t="n">
        <v>46233</v>
      </c>
      <c r="F410" t="inlineStr">
        <is>
          <t>JÖNKÖPINGS LÄN</t>
        </is>
      </c>
      <c r="G410" t="inlineStr">
        <is>
          <t>VAGGERYD</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1938-2025</t>
        </is>
      </c>
      <c r="B411" t="inlineStr">
        <is>
          <t>avverkningsanmälan</t>
        </is>
      </c>
      <c r="C411" t="inlineStr">
        <is>
          <t>Föryngringsavverkning</t>
        </is>
      </c>
      <c r="D411" s="1" t="n">
        <v>45671</v>
      </c>
      <c r="E411" s="1" t="n">
        <v>46233</v>
      </c>
      <c r="F411" t="inlineStr">
        <is>
          <t>JÖNKÖPINGS LÄN</t>
        </is>
      </c>
      <c r="G411" t="inlineStr">
        <is>
          <t>VAGGERYD</t>
        </is>
      </c>
      <c r="I411" t="n">
        <v>6.7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18764-2025</t>
        </is>
      </c>
      <c r="B412" t="inlineStr">
        <is>
          <t>avverkningsanmälan</t>
        </is>
      </c>
      <c r="C412" t="inlineStr">
        <is>
          <t>Föryngringsavverkning</t>
        </is>
      </c>
      <c r="D412" s="1" t="n">
        <v>45764</v>
      </c>
      <c r="E412" s="1" t="n">
        <v>46233</v>
      </c>
      <c r="F412" t="inlineStr">
        <is>
          <t>JÖNKÖPINGS LÄN</t>
        </is>
      </c>
      <c r="G412" t="inlineStr">
        <is>
          <t>VAGGERYD</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15940-2025</t>
        </is>
      </c>
      <c r="B413" t="inlineStr">
        <is>
          <t>avverkningsanmälan</t>
        </is>
      </c>
      <c r="C413" t="inlineStr">
        <is>
          <t>Föryngringsavverkning</t>
        </is>
      </c>
      <c r="D413" s="1" t="n">
        <v>45749</v>
      </c>
      <c r="E413" s="1" t="n">
        <v>46233</v>
      </c>
      <c r="F413" t="inlineStr">
        <is>
          <t>JÖNKÖPINGS LÄN</t>
        </is>
      </c>
      <c r="G413" t="inlineStr">
        <is>
          <t>VAGGERYD</t>
        </is>
      </c>
      <c r="H413" t="inlineStr">
        <is>
          <t>Sveaskog</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23270-2025</t>
        </is>
      </c>
      <c r="B414" t="inlineStr">
        <is>
          <t>avverkningsanmälan</t>
        </is>
      </c>
      <c r="C414" t="inlineStr">
        <is>
          <t>Avverkning för att bevara och utveckla /försöksver</t>
        </is>
      </c>
      <c r="D414" s="1" t="n">
        <v>45791</v>
      </c>
      <c r="E414" s="1" t="n">
        <v>46233</v>
      </c>
      <c r="F414" t="inlineStr">
        <is>
          <t>JÖNKÖPINGS LÄN</t>
        </is>
      </c>
      <c r="G414" t="inlineStr">
        <is>
          <t>VAGGERYD</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25120-2025</t>
        </is>
      </c>
      <c r="B415" t="inlineStr">
        <is>
          <t>avverkningsanmälan</t>
        </is>
      </c>
      <c r="C415" t="inlineStr">
        <is>
          <t>Föryngringsavverkning</t>
        </is>
      </c>
      <c r="D415" s="1" t="n">
        <v>45798</v>
      </c>
      <c r="E415" s="1" t="n">
        <v>46233</v>
      </c>
      <c r="F415" t="inlineStr">
        <is>
          <t>JÖNKÖPINGS LÄN</t>
        </is>
      </c>
      <c r="G415" t="inlineStr">
        <is>
          <t>VAGGERYD</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25400-2025</t>
        </is>
      </c>
      <c r="B416" t="inlineStr">
        <is>
          <t>avverkningsanmälan</t>
        </is>
      </c>
      <c r="C416" t="inlineStr">
        <is>
          <t>Föryngringsavverkning</t>
        </is>
      </c>
      <c r="D416" s="1" t="n">
        <v>45799</v>
      </c>
      <c r="E416" s="1" t="n">
        <v>46233</v>
      </c>
      <c r="F416" t="inlineStr">
        <is>
          <t>JÖNKÖPINGS LÄN</t>
        </is>
      </c>
      <c r="G416" t="inlineStr">
        <is>
          <t>VAGGERYD</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3587-2022</t>
        </is>
      </c>
      <c r="B417" t="inlineStr">
        <is>
          <t>samrådsanmälan</t>
        </is>
      </c>
      <c r="C417" t="inlineStr">
        <is>
          <t>Skogsbilväg</t>
        </is>
      </c>
      <c r="D417" s="1" t="n">
        <v>44739</v>
      </c>
      <c r="E417" s="1" t="n">
        <v>46233</v>
      </c>
      <c r="F417" t="inlineStr">
        <is>
          <t>JÖNKÖPINGS LÄN</t>
        </is>
      </c>
      <c r="G417" t="inlineStr">
        <is>
          <t>VAGGERYD</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4752-2024</t>
        </is>
      </c>
      <c r="B418" t="inlineStr">
        <is>
          <t>samrådsanmälan</t>
        </is>
      </c>
      <c r="C418" t="inlineStr">
        <is>
          <t>Annan skogsbruksåtgärd</t>
        </is>
      </c>
      <c r="D418" s="1" t="n">
        <v>45609</v>
      </c>
      <c r="E418" s="1" t="n">
        <v>46233</v>
      </c>
      <c r="F418" t="inlineStr">
        <is>
          <t>JÖNKÖPINGS LÄN</t>
        </is>
      </c>
      <c r="G418" t="inlineStr">
        <is>
          <t>VAGGERYD</t>
        </is>
      </c>
      <c r="I418" t="n">
        <v>5.9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1665-2023</t>
        </is>
      </c>
      <c r="B419" t="inlineStr">
        <is>
          <t>samrådsanmälan</t>
        </is>
      </c>
      <c r="C419" t="inlineStr">
        <is>
          <t>Askåterföring</t>
        </is>
      </c>
      <c r="D419" s="1" t="n">
        <v>45062</v>
      </c>
      <c r="E419" s="1" t="n">
        <v>46233</v>
      </c>
      <c r="F419" t="inlineStr">
        <is>
          <t>JÖNKÖPINGS LÄN</t>
        </is>
      </c>
      <c r="G419" t="inlineStr">
        <is>
          <t>VAGGERYD</t>
        </is>
      </c>
      <c r="I419" t="n">
        <v>30.8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1388-2024</t>
        </is>
      </c>
      <c r="B420" t="inlineStr">
        <is>
          <t>samrådsanmälan</t>
        </is>
      </c>
      <c r="C420" t="inlineStr">
        <is>
          <t>Askåterföring</t>
        </is>
      </c>
      <c r="D420" s="1" t="n">
        <v>45411</v>
      </c>
      <c r="E420" s="1" t="n">
        <v>46233</v>
      </c>
      <c r="F420" t="inlineStr">
        <is>
          <t>JÖNKÖPINGS LÄN</t>
        </is>
      </c>
      <c r="G420" t="inlineStr">
        <is>
          <t>VAGGERYD</t>
        </is>
      </c>
      <c r="I420" t="n">
        <v>43.7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1446-2023</t>
        </is>
      </c>
      <c r="B421" t="inlineStr">
        <is>
          <t>samrådsanmälan</t>
        </is>
      </c>
      <c r="C421" t="inlineStr">
        <is>
          <t>Askåterföring</t>
        </is>
      </c>
      <c r="D421" s="1" t="n">
        <v>45044</v>
      </c>
      <c r="E421" s="1" t="n">
        <v>46233</v>
      </c>
      <c r="F421" t="inlineStr">
        <is>
          <t>JÖNKÖPINGS LÄN</t>
        </is>
      </c>
      <c r="G421" t="inlineStr">
        <is>
          <t>VAGGERYD</t>
        </is>
      </c>
      <c r="I421" t="n">
        <v>14.2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1504-2023</t>
        </is>
      </c>
      <c r="B422" t="inlineStr">
        <is>
          <t>samrådsanmälan</t>
        </is>
      </c>
      <c r="C422" t="inlineStr">
        <is>
          <t>Askåterföring</t>
        </is>
      </c>
      <c r="D422" s="1" t="n">
        <v>45051</v>
      </c>
      <c r="E422" s="1" t="n">
        <v>46233</v>
      </c>
      <c r="F422" t="inlineStr">
        <is>
          <t>JÖNKÖPINGS LÄN</t>
        </is>
      </c>
      <c r="G422" t="inlineStr">
        <is>
          <t>VAGGERYD</t>
        </is>
      </c>
      <c r="I422" t="n">
        <v>68.2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5205-2022</t>
        </is>
      </c>
      <c r="B423" t="inlineStr">
        <is>
          <t>samrådsanmälan</t>
        </is>
      </c>
      <c r="C423" t="inlineStr">
        <is>
          <t>Dikesrensning</t>
        </is>
      </c>
      <c r="D423" s="1" t="n">
        <v>44824</v>
      </c>
      <c r="E423" s="1" t="n">
        <v>46233</v>
      </c>
      <c r="F423" t="inlineStr">
        <is>
          <t>JÖNKÖPINGS LÄN</t>
        </is>
      </c>
      <c r="G423" t="inlineStr">
        <is>
          <t>VAGGERYD</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3918-2022</t>
        </is>
      </c>
      <c r="B424" t="inlineStr">
        <is>
          <t>samrådsanmälan</t>
        </is>
      </c>
      <c r="C424" t="inlineStr">
        <is>
          <t>Askåterföring</t>
        </is>
      </c>
      <c r="D424" s="1" t="n">
        <v>44748</v>
      </c>
      <c r="E424" s="1" t="n">
        <v>46233</v>
      </c>
      <c r="F424" t="inlineStr">
        <is>
          <t>JÖNKÖPINGS LÄN</t>
        </is>
      </c>
      <c r="G424" t="inlineStr">
        <is>
          <t>VAGGERYD</t>
        </is>
      </c>
      <c r="H424" t="inlineStr">
        <is>
          <t>Övriga Aktiebolag</t>
        </is>
      </c>
      <c r="I424" t="n">
        <v>88.5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1315-2024</t>
        </is>
      </c>
      <c r="B425" t="inlineStr">
        <is>
          <t>samrådsanmälan</t>
        </is>
      </c>
      <c r="C425" t="inlineStr">
        <is>
          <t>Askåterföring</t>
        </is>
      </c>
      <c r="D425" s="1" t="n">
        <v>45406</v>
      </c>
      <c r="E425" s="1" t="n">
        <v>46233</v>
      </c>
      <c r="F425" t="inlineStr">
        <is>
          <t>JÖNKÖPINGS LÄN</t>
        </is>
      </c>
      <c r="G425" t="inlineStr">
        <is>
          <t>VAGGERYD</t>
        </is>
      </c>
      <c r="I425" t="n">
        <v>25.9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1322-2024</t>
        </is>
      </c>
      <c r="B426" t="inlineStr">
        <is>
          <t>samrådsanmälan</t>
        </is>
      </c>
      <c r="C426" t="inlineStr">
        <is>
          <t>Askåterföring</t>
        </is>
      </c>
      <c r="D426" s="1" t="n">
        <v>45406</v>
      </c>
      <c r="E426" s="1" t="n">
        <v>46233</v>
      </c>
      <c r="F426" t="inlineStr">
        <is>
          <t>JÖNKÖPINGS LÄN</t>
        </is>
      </c>
      <c r="G426" t="inlineStr">
        <is>
          <t>VAGGERYD</t>
        </is>
      </c>
      <c r="I426" t="n">
        <v>49.1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1317-2024</t>
        </is>
      </c>
      <c r="B427" t="inlineStr">
        <is>
          <t>samrådsanmälan</t>
        </is>
      </c>
      <c r="C427" t="inlineStr">
        <is>
          <t>Askåterföring</t>
        </is>
      </c>
      <c r="D427" s="1" t="n">
        <v>45406</v>
      </c>
      <c r="E427" s="1" t="n">
        <v>46233</v>
      </c>
      <c r="F427" t="inlineStr">
        <is>
          <t>JÖNKÖPINGS LÄN</t>
        </is>
      </c>
      <c r="G427" t="inlineStr">
        <is>
          <t>VAGGERYD</t>
        </is>
      </c>
      <c r="I427" t="n">
        <v>39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704-2024</t>
        </is>
      </c>
      <c r="B428" t="inlineStr">
        <is>
          <t>samrådsanmälan</t>
        </is>
      </c>
      <c r="C428" t="inlineStr">
        <is>
          <t>Annan skogsbruksåtgärd</t>
        </is>
      </c>
      <c r="D428" s="1" t="n">
        <v>45362</v>
      </c>
      <c r="E428" s="1" t="n">
        <v>46233</v>
      </c>
      <c r="F428" t="inlineStr">
        <is>
          <t>JÖNKÖPINGS LÄN</t>
        </is>
      </c>
      <c r="G428" t="inlineStr">
        <is>
          <t>VAGGERYD</t>
        </is>
      </c>
      <c r="H428" t="inlineStr">
        <is>
          <t>Sveaskog</t>
        </is>
      </c>
      <c r="I428" t="n">
        <v>9.300000000000001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1389-2024</t>
        </is>
      </c>
      <c r="B429" t="inlineStr">
        <is>
          <t>samrådsanmälan</t>
        </is>
      </c>
      <c r="C429" t="inlineStr">
        <is>
          <t>Askåterföring</t>
        </is>
      </c>
      <c r="D429" s="1" t="n">
        <v>45411</v>
      </c>
      <c r="E429" s="1" t="n">
        <v>46233</v>
      </c>
      <c r="F429" t="inlineStr">
        <is>
          <t>JÖNKÖPINGS LÄN</t>
        </is>
      </c>
      <c r="G429" t="inlineStr">
        <is>
          <t>VAGGERYD</t>
        </is>
      </c>
      <c r="H429" t="inlineStr">
        <is>
          <t>Övriga Aktiebolag</t>
        </is>
      </c>
      <c r="I429" t="n">
        <v>20.3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2271-2023</t>
        </is>
      </c>
      <c r="B430" t="inlineStr">
        <is>
          <t>samrådsanmälan</t>
        </is>
      </c>
      <c r="C430" t="inlineStr">
        <is>
          <t>Askåterföring</t>
        </is>
      </c>
      <c r="D430" s="1" t="n">
        <v>45103</v>
      </c>
      <c r="E430" s="1" t="n">
        <v>46233</v>
      </c>
      <c r="F430" t="inlineStr">
        <is>
          <t>JÖNKÖPINGS LÄN</t>
        </is>
      </c>
      <c r="G430" t="inlineStr">
        <is>
          <t>VAGGERYD</t>
        </is>
      </c>
      <c r="I430" t="n">
        <v>9.6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3985-2022</t>
        </is>
      </c>
      <c r="B431" t="inlineStr">
        <is>
          <t>samrådsanmälan</t>
        </is>
      </c>
      <c r="C431" t="inlineStr">
        <is>
          <t>Askåterföring</t>
        </is>
      </c>
      <c r="D431" s="1" t="n">
        <v>44753</v>
      </c>
      <c r="E431" s="1" t="n">
        <v>46233</v>
      </c>
      <c r="F431" t="inlineStr">
        <is>
          <t>JÖNKÖPINGS LÄN</t>
        </is>
      </c>
      <c r="G431" t="inlineStr">
        <is>
          <t>VAGGERYD</t>
        </is>
      </c>
      <c r="I431" t="n">
        <v>40.2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2457-2023</t>
        </is>
      </c>
      <c r="B432" t="inlineStr">
        <is>
          <t>samrådsanmälan</t>
        </is>
      </c>
      <c r="C432" t="inlineStr">
        <is>
          <t>Askåterföring</t>
        </is>
      </c>
      <c r="D432" s="1" t="n">
        <v>45117</v>
      </c>
      <c r="E432" s="1" t="n">
        <v>46233</v>
      </c>
      <c r="F432" t="inlineStr">
        <is>
          <t>JÖNKÖPINGS LÄN</t>
        </is>
      </c>
      <c r="G432" t="inlineStr">
        <is>
          <t>VAGGERYD</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1858-2024</t>
        </is>
      </c>
      <c r="B433" t="inlineStr">
        <is>
          <t>samrådsanmälan</t>
        </is>
      </c>
      <c r="C433" t="inlineStr">
        <is>
          <t>Askåterföring</t>
        </is>
      </c>
      <c r="D433" s="1" t="n">
        <v>45440</v>
      </c>
      <c r="E433" s="1" t="n">
        <v>46233</v>
      </c>
      <c r="F433" t="inlineStr">
        <is>
          <t>JÖNKÖPINGS LÄN</t>
        </is>
      </c>
      <c r="G433" t="inlineStr">
        <is>
          <t>VAGGERYD</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2272-2023</t>
        </is>
      </c>
      <c r="B434" t="inlineStr">
        <is>
          <t>samrådsanmälan</t>
        </is>
      </c>
      <c r="C434" t="inlineStr">
        <is>
          <t>Askåterföring</t>
        </is>
      </c>
      <c r="D434" s="1" t="n">
        <v>45103</v>
      </c>
      <c r="E434" s="1" t="n">
        <v>46233</v>
      </c>
      <c r="F434" t="inlineStr">
        <is>
          <t>JÖNKÖPINGS LÄN</t>
        </is>
      </c>
      <c r="G434" t="inlineStr">
        <is>
          <t>VAGGERYD</t>
        </is>
      </c>
      <c r="I434" t="n">
        <v>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869-2023</t>
        </is>
      </c>
      <c r="B435" t="inlineStr">
        <is>
          <t>samrådsanmälan</t>
        </is>
      </c>
      <c r="C435" t="inlineStr">
        <is>
          <t>Askåterföring</t>
        </is>
      </c>
      <c r="D435" s="1" t="n">
        <v>44994</v>
      </c>
      <c r="E435" s="1" t="n">
        <v>46233</v>
      </c>
      <c r="F435" t="inlineStr">
        <is>
          <t>JÖNKÖPINGS LÄN</t>
        </is>
      </c>
      <c r="G435" t="inlineStr">
        <is>
          <t>VAGGERYD</t>
        </is>
      </c>
      <c r="H435" t="inlineStr">
        <is>
          <t>Övriga Aktiebolag</t>
        </is>
      </c>
      <c r="I435" t="n">
        <v>66.3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1664-2023</t>
        </is>
      </c>
      <c r="B436" t="inlineStr">
        <is>
          <t>samrådsanmälan</t>
        </is>
      </c>
      <c r="C436" t="inlineStr">
        <is>
          <t>Askåterföring</t>
        </is>
      </c>
      <c r="D436" s="1" t="n">
        <v>45062</v>
      </c>
      <c r="E436" s="1" t="n">
        <v>46233</v>
      </c>
      <c r="F436" t="inlineStr">
        <is>
          <t>JÖNKÖPINGS LÄN</t>
        </is>
      </c>
      <c r="G436" t="inlineStr">
        <is>
          <t>VAGGERYD</t>
        </is>
      </c>
      <c r="I436" t="n">
        <v>22.4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1100-2025</t>
        </is>
      </c>
      <c r="B437" t="inlineStr">
        <is>
          <t>samrådsanmälan</t>
        </is>
      </c>
      <c r="C437" t="inlineStr">
        <is>
          <t>Askåterföring</t>
        </is>
      </c>
      <c r="D437" s="1" t="n">
        <v>45751</v>
      </c>
      <c r="E437" s="1" t="n">
        <v>46233</v>
      </c>
      <c r="F437" t="inlineStr">
        <is>
          <t>JÖNKÖPINGS LÄN</t>
        </is>
      </c>
      <c r="G437" t="inlineStr">
        <is>
          <t>VAGGERYD</t>
        </is>
      </c>
      <c r="I437" t="n">
        <v>47.5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1615-2025</t>
        </is>
      </c>
      <c r="B438" t="inlineStr">
        <is>
          <t>samrådsanmälan</t>
        </is>
      </c>
      <c r="C438" t="inlineStr">
        <is>
          <t>Askåterföring</t>
        </is>
      </c>
      <c r="D438" s="1" t="n">
        <v>45798</v>
      </c>
      <c r="E438" s="1" t="n">
        <v>46233</v>
      </c>
      <c r="F438" t="inlineStr">
        <is>
          <t>JÖNKÖPINGS LÄN</t>
        </is>
      </c>
      <c r="G438" t="inlineStr">
        <is>
          <t>VAGGERYD</t>
        </is>
      </c>
      <c r="I438" t="n">
        <v>36.2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567-2025</t>
        </is>
      </c>
      <c r="B439" t="inlineStr">
        <is>
          <t>samrådsanmälan</t>
        </is>
      </c>
      <c r="C439" t="inlineStr">
        <is>
          <t>Askåterföring</t>
        </is>
      </c>
      <c r="D439" s="1" t="n">
        <v>45712</v>
      </c>
      <c r="E439" s="1" t="n">
        <v>46233</v>
      </c>
      <c r="F439" t="inlineStr">
        <is>
          <t>JÖNKÖPINGS LÄN</t>
        </is>
      </c>
      <c r="G439" t="inlineStr">
        <is>
          <t>VAGGERYD</t>
        </is>
      </c>
      <c r="I439" t="n">
        <v>10.1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827-2025</t>
        </is>
      </c>
      <c r="B440" t="inlineStr">
        <is>
          <t>samrådsanmälan</t>
        </is>
      </c>
      <c r="C440" t="inlineStr">
        <is>
          <t>Askåterföring</t>
        </is>
      </c>
      <c r="D440" s="1" t="n">
        <v>45733</v>
      </c>
      <c r="E440" s="1" t="n">
        <v>46233</v>
      </c>
      <c r="F440" t="inlineStr">
        <is>
          <t>JÖNKÖPINGS LÄN</t>
        </is>
      </c>
      <c r="G440" t="inlineStr">
        <is>
          <t>VAGGERYD</t>
        </is>
      </c>
      <c r="I440" t="n">
        <v>181.7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580-2025</t>
        </is>
      </c>
      <c r="B441" t="inlineStr">
        <is>
          <t>samrådsanmälan</t>
        </is>
      </c>
      <c r="C441" t="inlineStr">
        <is>
          <t>Askåterföring</t>
        </is>
      </c>
      <c r="D441" s="1" t="n">
        <v>45712</v>
      </c>
      <c r="E441" s="1" t="n">
        <v>46233</v>
      </c>
      <c r="F441" t="inlineStr">
        <is>
          <t>JÖNKÖPINGS LÄN</t>
        </is>
      </c>
      <c r="G441" t="inlineStr">
        <is>
          <t>VAGGERYD</t>
        </is>
      </c>
      <c r="I441" t="n">
        <v>19.8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3532-2025</t>
        </is>
      </c>
      <c r="B442" t="inlineStr">
        <is>
          <t>samrådsanmälan</t>
        </is>
      </c>
      <c r="C442" t="inlineStr">
        <is>
          <t>Annan skogsbruksåtgärd</t>
        </is>
      </c>
      <c r="D442" s="1" t="n">
        <v>46008</v>
      </c>
      <c r="E442" s="1" t="n">
        <v>46233</v>
      </c>
      <c r="F442" t="inlineStr">
        <is>
          <t>JÖNKÖPINGS LÄN</t>
        </is>
      </c>
      <c r="G442" t="inlineStr">
        <is>
          <t>VAGGERYD</t>
        </is>
      </c>
      <c r="H442" t="inlineStr">
        <is>
          <t>Sveaskog</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54-2026</t>
        </is>
      </c>
      <c r="B443" t="inlineStr">
        <is>
          <t>samrådsanmälan</t>
        </is>
      </c>
      <c r="C443" t="inlineStr">
        <is>
          <t>Annan skogsbruksåtgärd</t>
        </is>
      </c>
      <c r="D443" s="1" t="n">
        <v>46031</v>
      </c>
      <c r="E443" s="1" t="n">
        <v>46233</v>
      </c>
      <c r="F443" t="inlineStr">
        <is>
          <t>JÖNKÖPINGS LÄN</t>
        </is>
      </c>
      <c r="G443" t="inlineStr">
        <is>
          <t>VAGGERYD</t>
        </is>
      </c>
      <c r="H443" t="inlineStr">
        <is>
          <t>Sveaskog</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55-2026</t>
        </is>
      </c>
      <c r="B444" t="inlineStr">
        <is>
          <t>samrådsanmälan</t>
        </is>
      </c>
      <c r="C444" t="inlineStr">
        <is>
          <t>Annan skogsbruksåtgärd</t>
        </is>
      </c>
      <c r="D444" s="1" t="n">
        <v>46031</v>
      </c>
      <c r="E444" s="1" t="n">
        <v>46233</v>
      </c>
      <c r="F444" t="inlineStr">
        <is>
          <t>JÖNKÖPINGS LÄN</t>
        </is>
      </c>
      <c r="G444" t="inlineStr">
        <is>
          <t>VAGGERYD</t>
        </is>
      </c>
      <c r="H444" t="inlineStr">
        <is>
          <t>Sveaskog</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618-2026</t>
        </is>
      </c>
      <c r="B445" t="inlineStr">
        <is>
          <t>samrådsanmälan</t>
        </is>
      </c>
      <c r="C445" t="inlineStr">
        <is>
          <t>Askåterföring</t>
        </is>
      </c>
      <c r="D445" s="1" t="n">
        <v>46085</v>
      </c>
      <c r="E445" s="1" t="n">
        <v>46233</v>
      </c>
      <c r="F445" t="inlineStr">
        <is>
          <t>JÖNKÖPINGS LÄN</t>
        </is>
      </c>
      <c r="G445" t="inlineStr">
        <is>
          <t>VAGGERYD</t>
        </is>
      </c>
      <c r="I445" t="n">
        <v>32.9</v>
      </c>
      <c r="J445" t="n">
        <v>0</v>
      </c>
      <c r="K445" t="n">
        <v>0</v>
      </c>
      <c r="L445" t="n">
        <v>0</v>
      </c>
      <c r="M445" t="n">
        <v>0</v>
      </c>
      <c r="N445" t="n">
        <v>0</v>
      </c>
      <c r="O445" t="n">
        <v>0</v>
      </c>
      <c r="P445" t="n">
        <v>0</v>
      </c>
      <c r="Q445" t="n">
        <v>0</v>
      </c>
      <c r="R445" t="n">
        <v>0</v>
      </c>
      <c r="S445" t="n">
        <v>0</v>
      </c>
      <c r="T445" t="n">
        <v>0</v>
      </c>
      <c r="U445" t="n">
        <v>0</v>
      </c>
      <c r="V445" s="2" t="inlineStr"/>
    </row>
    <row r="446">
      <c r="A446" t="inlineStr">
        <is>
          <t>S 1761-2026</t>
        </is>
      </c>
      <c r="B446" t="inlineStr">
        <is>
          <t>samrådsanmälan</t>
        </is>
      </c>
      <c r="C446" t="inlineStr">
        <is>
          <t>Askåterföring</t>
        </is>
      </c>
      <c r="D446" s="1" t="n">
        <v>46188</v>
      </c>
      <c r="E446" s="1" t="n">
        <v>46233</v>
      </c>
      <c r="F446" t="inlineStr">
        <is>
          <t>JÖNKÖPINGS LÄN</t>
        </is>
      </c>
      <c r="G446" t="inlineStr">
        <is>
          <t>VAGGERYD</t>
        </is>
      </c>
      <c r="H446" t="inlineStr">
        <is>
          <t>Kyrkan</t>
        </is>
      </c>
      <c r="I446" t="n">
        <v>102.2</v>
      </c>
      <c r="J446" t="n">
        <v>0</v>
      </c>
      <c r="K446" t="n">
        <v>0</v>
      </c>
      <c r="L446" t="n">
        <v>0</v>
      </c>
      <c r="M446" t="n">
        <v>0</v>
      </c>
      <c r="N446" t="n">
        <v>0</v>
      </c>
      <c r="O446" t="n">
        <v>0</v>
      </c>
      <c r="P446" t="n">
        <v>0</v>
      </c>
      <c r="Q446" t="n">
        <v>0</v>
      </c>
      <c r="R446" t="n">
        <v>0</v>
      </c>
      <c r="S446" t="n">
        <v>0</v>
      </c>
      <c r="T446" t="n">
        <v>0</v>
      </c>
      <c r="U446" t="n">
        <v>0</v>
      </c>
      <c r="V4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2026-07-30T01:52:33Z</dcterms:created>
  <dcterms:modified xmlns:dcterms="http://purl.org/dc/terms/" xmlns:xsi="http://www.w3.org/2001/XMLSchema-instance" xsi:type="dcterms:W3CDTF">2026-07-30T01:52:34Z</dcterms:modified>
</cp:coreProperties>
</file>