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45658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45658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45658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45658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45658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45658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22369-2022</t>
        </is>
      </c>
      <c r="B8" s="1" t="n">
        <v>44713</v>
      </c>
      <c r="C8" s="1" t="n">
        <v>45658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30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Mattlummer</t>
        </is>
      </c>
      <c r="S8">
        <f>HYPERLINK("https://klasma.github.io/Logging_0665/artfynd/A 22369-2022 artfynd.xlsx", "A 22369-2022")</f>
        <v/>
      </c>
      <c r="T8">
        <f>HYPERLINK("https://klasma.github.io/Logging_0665/kartor/A 22369-2022 karta.png", "A 22369-2022")</f>
        <v/>
      </c>
      <c r="V8">
        <f>HYPERLINK("https://klasma.github.io/Logging_0665/klagomål/A 22369-2022 FSC-klagomål.docx", "A 22369-2022")</f>
        <v/>
      </c>
      <c r="W8">
        <f>HYPERLINK("https://klasma.github.io/Logging_0665/klagomålsmail/A 22369-2022 FSC-klagomål mail.docx", "A 22369-2022")</f>
        <v/>
      </c>
      <c r="X8">
        <f>HYPERLINK("https://klasma.github.io/Logging_0665/tillsyn/A 22369-2022 tillsynsbegäran.docx", "A 22369-2022")</f>
        <v/>
      </c>
      <c r="Y8">
        <f>HYPERLINK("https://klasma.github.io/Logging_0665/tillsynsmail/A 22369-2022 tillsynsbegäran mail.docx", "A 22369-2022")</f>
        <v/>
      </c>
      <c r="Z8">
        <f>HYPERLINK("https://klasma.github.io/Logging_0665/fåglar/A 22369-2022 prioriterade fågelarter.docx", "A 22369-2022")</f>
        <v/>
      </c>
    </row>
    <row r="9" ht="15" customHeight="1">
      <c r="A9" t="inlineStr">
        <is>
          <t>A 4015-2023</t>
        </is>
      </c>
      <c r="B9" s="1" t="n">
        <v>44952</v>
      </c>
      <c r="C9" s="1" t="n">
        <v>45658</v>
      </c>
      <c r="D9" t="inlineStr">
        <is>
          <t>JÖNKÖPINGS LÄN</t>
        </is>
      </c>
      <c r="E9" t="inlineStr">
        <is>
          <t>VAGGERYD</t>
        </is>
      </c>
      <c r="G9" t="n">
        <v>6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Korallrot
Spindelblomster</t>
        </is>
      </c>
      <c r="S9">
        <f>HYPERLINK("https://klasma.github.io/Logging_0665/artfynd/A 4015-2023 artfynd.xlsx", "A 4015-2023")</f>
        <v/>
      </c>
      <c r="T9">
        <f>HYPERLINK("https://klasma.github.io/Logging_0665/kartor/A 4015-2023 karta.png", "A 4015-2023")</f>
        <v/>
      </c>
      <c r="V9">
        <f>HYPERLINK("https://klasma.github.io/Logging_0665/klagomål/A 4015-2023 FSC-klagomål.docx", "A 4015-2023")</f>
        <v/>
      </c>
      <c r="W9">
        <f>HYPERLINK("https://klasma.github.io/Logging_0665/klagomålsmail/A 4015-2023 FSC-klagomål mail.docx", "A 4015-2023")</f>
        <v/>
      </c>
      <c r="X9">
        <f>HYPERLINK("https://klasma.github.io/Logging_0665/tillsyn/A 4015-2023 tillsynsbegäran.docx", "A 4015-2023")</f>
        <v/>
      </c>
      <c r="Y9">
        <f>HYPERLINK("https://klasma.github.io/Logging_0665/tillsynsmail/A 4015-2023 tillsynsbegäran mail.docx", "A 4015-2023")</f>
        <v/>
      </c>
    </row>
    <row r="10" ht="15" customHeight="1">
      <c r="A10" t="inlineStr">
        <is>
          <t>A 28929-2023</t>
        </is>
      </c>
      <c r="B10" s="1" t="n">
        <v>45104</v>
      </c>
      <c r="C10" s="1" t="n">
        <v>45658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11.8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Nattviol</t>
        </is>
      </c>
      <c r="S10">
        <f>HYPERLINK("https://klasma.github.io/Logging_0665/artfynd/A 28929-2023 artfynd.xlsx", "A 28929-2023")</f>
        <v/>
      </c>
      <c r="T10">
        <f>HYPERLINK("https://klasma.github.io/Logging_0665/kartor/A 28929-2023 karta.png", "A 28929-2023")</f>
        <v/>
      </c>
      <c r="V10">
        <f>HYPERLINK("https://klasma.github.io/Logging_0665/klagomål/A 28929-2023 FSC-klagomål.docx", "A 28929-2023")</f>
        <v/>
      </c>
      <c r="W10">
        <f>HYPERLINK("https://klasma.github.io/Logging_0665/klagomålsmail/A 28929-2023 FSC-klagomål mail.docx", "A 28929-2023")</f>
        <v/>
      </c>
      <c r="X10">
        <f>HYPERLINK("https://klasma.github.io/Logging_0665/tillsyn/A 28929-2023 tillsynsbegäran.docx", "A 28929-2023")</f>
        <v/>
      </c>
      <c r="Y10">
        <f>HYPERLINK("https://klasma.github.io/Logging_0665/tillsynsmail/A 28929-2023 tillsynsbegäran mail.docx", "A 28929-2023")</f>
        <v/>
      </c>
    </row>
    <row r="11" ht="15" customHeight="1">
      <c r="A11" t="inlineStr">
        <is>
          <t>A 52032-2023</t>
        </is>
      </c>
      <c r="B11" s="1" t="n">
        <v>45223</v>
      </c>
      <c r="C11" s="1" t="n">
        <v>45658</v>
      </c>
      <c r="D11" t="inlineStr">
        <is>
          <t>JÖNKÖPINGS LÄN</t>
        </is>
      </c>
      <c r="E11" t="inlineStr">
        <is>
          <t>VAGGERYD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Fläcknycklar
Revlummer</t>
        </is>
      </c>
      <c r="S11">
        <f>HYPERLINK("https://klasma.github.io/Logging_0665/artfynd/A 52032-2023 artfynd.xlsx", "A 52032-2023")</f>
        <v/>
      </c>
      <c r="T11">
        <f>HYPERLINK("https://klasma.github.io/Logging_0665/kartor/A 52032-2023 karta.png", "A 52032-2023")</f>
        <v/>
      </c>
      <c r="V11">
        <f>HYPERLINK("https://klasma.github.io/Logging_0665/klagomål/A 52032-2023 FSC-klagomål.docx", "A 52032-2023")</f>
        <v/>
      </c>
      <c r="W11">
        <f>HYPERLINK("https://klasma.github.io/Logging_0665/klagomålsmail/A 52032-2023 FSC-klagomål mail.docx", "A 52032-2023")</f>
        <v/>
      </c>
      <c r="X11">
        <f>HYPERLINK("https://klasma.github.io/Logging_0665/tillsyn/A 52032-2023 tillsynsbegäran.docx", "A 52032-2023")</f>
        <v/>
      </c>
      <c r="Y11">
        <f>HYPERLINK("https://klasma.github.io/Logging_0665/tillsynsmail/A 52032-2023 tillsynsbegäran mail.docx", "A 52032-2023")</f>
        <v/>
      </c>
    </row>
    <row r="12" ht="15" customHeight="1">
      <c r="A12" t="inlineStr">
        <is>
          <t>A 41226-2019</t>
        </is>
      </c>
      <c r="B12" s="1" t="n">
        <v>43698</v>
      </c>
      <c r="C12" s="1" t="n">
        <v>45658</v>
      </c>
      <c r="D12" t="inlineStr">
        <is>
          <t>JÖNKÖPINGS LÄN</t>
        </is>
      </c>
      <c r="E12" t="inlineStr">
        <is>
          <t>VAGGERYD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Gullviva</t>
        </is>
      </c>
      <c r="S12">
        <f>HYPERLINK("https://klasma.github.io/Logging_0665/artfynd/A 41226-2019 artfynd.xlsx", "A 41226-2019")</f>
        <v/>
      </c>
      <c r="T12">
        <f>HYPERLINK("https://klasma.github.io/Logging_0665/kartor/A 41226-2019 karta.png", "A 41226-2019")</f>
        <v/>
      </c>
      <c r="V12">
        <f>HYPERLINK("https://klasma.github.io/Logging_0665/klagomål/A 41226-2019 FSC-klagomål.docx", "A 41226-2019")</f>
        <v/>
      </c>
      <c r="W12">
        <f>HYPERLINK("https://klasma.github.io/Logging_0665/klagomålsmail/A 41226-2019 FSC-klagomål mail.docx", "A 41226-2019")</f>
        <v/>
      </c>
      <c r="X12">
        <f>HYPERLINK("https://klasma.github.io/Logging_0665/tillsyn/A 41226-2019 tillsynsbegäran.docx", "A 41226-2019")</f>
        <v/>
      </c>
      <c r="Y12">
        <f>HYPERLINK("https://klasma.github.io/Logging_0665/tillsynsmail/A 41226-2019 tillsynsbegäran mail.docx", "A 41226-2019")</f>
        <v/>
      </c>
    </row>
    <row r="13" ht="15" customHeight="1">
      <c r="A13" t="inlineStr">
        <is>
          <t>A 42132-2019</t>
        </is>
      </c>
      <c r="B13" s="1" t="n">
        <v>43703</v>
      </c>
      <c r="C13" s="1" t="n">
        <v>45658</v>
      </c>
      <c r="D13" t="inlineStr">
        <is>
          <t>JÖNKÖPINGS LÄN</t>
        </is>
      </c>
      <c r="E13" t="inlineStr">
        <is>
          <t>VAGGERYD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HYPERLINK("https://klasma.github.io/Logging_0665/artfynd/A 42132-2019 artfynd.xlsx", "A 42132-2019")</f>
        <v/>
      </c>
      <c r="T13">
        <f>HYPERLINK("https://klasma.github.io/Logging_0665/kartor/A 42132-2019 karta.png", "A 42132-2019")</f>
        <v/>
      </c>
      <c r="V13">
        <f>HYPERLINK("https://klasma.github.io/Logging_0665/klagomål/A 42132-2019 FSC-klagomål.docx", "A 42132-2019")</f>
        <v/>
      </c>
      <c r="W13">
        <f>HYPERLINK("https://klasma.github.io/Logging_0665/klagomålsmail/A 42132-2019 FSC-klagomål mail.docx", "A 42132-2019")</f>
        <v/>
      </c>
      <c r="X13">
        <f>HYPERLINK("https://klasma.github.io/Logging_0665/tillsyn/A 42132-2019 tillsynsbegäran.docx", "A 42132-2019")</f>
        <v/>
      </c>
      <c r="Y13">
        <f>HYPERLINK("https://klasma.github.io/Logging_0665/tillsynsmail/A 42132-2019 tillsynsbegäran mail.docx", "A 42132-2019")</f>
        <v/>
      </c>
    </row>
    <row r="14" ht="15" customHeight="1">
      <c r="A14" t="inlineStr">
        <is>
          <t>A 53890-2019</t>
        </is>
      </c>
      <c r="B14" s="1" t="n">
        <v>43752</v>
      </c>
      <c r="C14" s="1" t="n">
        <v>45658</v>
      </c>
      <c r="D14" t="inlineStr">
        <is>
          <t>JÖNKÖPINGS LÄN</t>
        </is>
      </c>
      <c r="E14" t="inlineStr">
        <is>
          <t>VAGGERYD</t>
        </is>
      </c>
      <c r="G14" t="n">
        <v>5.3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HYPERLINK("https://klasma.github.io/Logging_0665/artfynd/A 53890-2019 artfynd.xlsx", "A 53890-2019")</f>
        <v/>
      </c>
      <c r="T14">
        <f>HYPERLINK("https://klasma.github.io/Logging_0665/kartor/A 53890-2019 karta.png", "A 53890-2019")</f>
        <v/>
      </c>
      <c r="V14">
        <f>HYPERLINK("https://klasma.github.io/Logging_0665/klagomål/A 53890-2019 FSC-klagomål.docx", "A 53890-2019")</f>
        <v/>
      </c>
      <c r="W14">
        <f>HYPERLINK("https://klasma.github.io/Logging_0665/klagomålsmail/A 53890-2019 FSC-klagomål mail.docx", "A 53890-2019")</f>
        <v/>
      </c>
      <c r="X14">
        <f>HYPERLINK("https://klasma.github.io/Logging_0665/tillsyn/A 53890-2019 tillsynsbegäran.docx", "A 53890-2019")</f>
        <v/>
      </c>
      <c r="Y14">
        <f>HYPERLINK("https://klasma.github.io/Logging_0665/tillsynsmail/A 53890-2019 tillsynsbegäran mail.docx", "A 53890-2019")</f>
        <v/>
      </c>
      <c r="Z14">
        <f>HYPERLINK("https://klasma.github.io/Logging_0665/fåglar/A 53890-2019 prioriterade fågelarter.docx", "A 53890-2019")</f>
        <v/>
      </c>
    </row>
    <row r="15" ht="15" customHeight="1">
      <c r="A15" t="inlineStr">
        <is>
          <t>A 56126-2019</t>
        </is>
      </c>
      <c r="B15" s="1" t="n">
        <v>43761</v>
      </c>
      <c r="C15" s="1" t="n">
        <v>45658</v>
      </c>
      <c r="D15" t="inlineStr">
        <is>
          <t>JÖNKÖPINGS LÄN</t>
        </is>
      </c>
      <c r="E15" t="inlineStr">
        <is>
          <t>VAGGERYD</t>
        </is>
      </c>
      <c r="G15" t="n">
        <v>2.4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HYPERLINK("https://klasma.github.io/Logging_0665/artfynd/A 56126-2019 artfynd.xlsx", "A 56126-2019")</f>
        <v/>
      </c>
      <c r="T15">
        <f>HYPERLINK("https://klasma.github.io/Logging_0665/kartor/A 56126-2019 karta.png", "A 56126-2019")</f>
        <v/>
      </c>
      <c r="U15">
        <f>HYPERLINK("https://klasma.github.io/Logging_0665/knärot/A 56126-2019 karta knärot.png", "A 56126-2019")</f>
        <v/>
      </c>
      <c r="V15">
        <f>HYPERLINK("https://klasma.github.io/Logging_0665/klagomål/A 56126-2019 FSC-klagomål.docx", "A 56126-2019")</f>
        <v/>
      </c>
      <c r="W15">
        <f>HYPERLINK("https://klasma.github.io/Logging_0665/klagomålsmail/A 56126-2019 FSC-klagomål mail.docx", "A 56126-2019")</f>
        <v/>
      </c>
      <c r="X15">
        <f>HYPERLINK("https://klasma.github.io/Logging_0665/tillsyn/A 56126-2019 tillsynsbegäran.docx", "A 56126-2019")</f>
        <v/>
      </c>
      <c r="Y15">
        <f>HYPERLINK("https://klasma.github.io/Logging_0665/tillsynsmail/A 56126-2019 tillsynsbegäran mail.docx", "A 56126-2019")</f>
        <v/>
      </c>
    </row>
    <row r="16" ht="15" customHeight="1">
      <c r="A16" t="inlineStr">
        <is>
          <t>A 56911-2020</t>
        </is>
      </c>
      <c r="B16" s="1" t="n">
        <v>44138</v>
      </c>
      <c r="C16" s="1" t="n">
        <v>45658</v>
      </c>
      <c r="D16" t="inlineStr">
        <is>
          <t>JÖNKÖPINGS LÄN</t>
        </is>
      </c>
      <c r="E16" t="inlineStr">
        <is>
          <t>VAGGERYD</t>
        </is>
      </c>
      <c r="F16" t="inlineStr">
        <is>
          <t>Övriga statliga verk och myndigheter</t>
        </is>
      </c>
      <c r="G16" t="n">
        <v>11.4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HYPERLINK("https://klasma.github.io/Logging_0665/artfynd/A 56911-2020 artfynd.xlsx", "A 56911-2020")</f>
        <v/>
      </c>
      <c r="T16">
        <f>HYPERLINK("https://klasma.github.io/Logging_0665/kartor/A 56911-2020 karta.png", "A 56911-2020")</f>
        <v/>
      </c>
      <c r="V16">
        <f>HYPERLINK("https://klasma.github.io/Logging_0665/klagomål/A 56911-2020 FSC-klagomål.docx", "A 56911-2020")</f>
        <v/>
      </c>
      <c r="W16">
        <f>HYPERLINK("https://klasma.github.io/Logging_0665/klagomålsmail/A 56911-2020 FSC-klagomål mail.docx", "A 56911-2020")</f>
        <v/>
      </c>
      <c r="X16">
        <f>HYPERLINK("https://klasma.github.io/Logging_0665/tillsyn/A 56911-2020 tillsynsbegäran.docx", "A 56911-2020")</f>
        <v/>
      </c>
      <c r="Y16">
        <f>HYPERLINK("https://klasma.github.io/Logging_0665/tillsynsmail/A 56911-2020 tillsynsbegäran mail.docx", "A 56911-2020")</f>
        <v/>
      </c>
    </row>
    <row r="17" ht="15" customHeight="1">
      <c r="A17" t="inlineStr">
        <is>
          <t>A 26049-2021</t>
        </is>
      </c>
      <c r="B17" s="1" t="n">
        <v>44344</v>
      </c>
      <c r="C17" s="1" t="n">
        <v>45658</v>
      </c>
      <c r="D17" t="inlineStr">
        <is>
          <t>JÖNKÖPINGS LÄN</t>
        </is>
      </c>
      <c r="E17" t="inlineStr">
        <is>
          <t>VAGGERYD</t>
        </is>
      </c>
      <c r="G17" t="n">
        <v>7.1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Kungsörn</t>
        </is>
      </c>
      <c r="S17">
        <f>HYPERLINK("https://klasma.github.io/Logging_0665/artfynd/A 26049-2021 artfynd.xlsx", "A 26049-2021")</f>
        <v/>
      </c>
      <c r="T17">
        <f>HYPERLINK("https://klasma.github.io/Logging_0665/kartor/A 26049-2021 karta.png", "A 26049-2021")</f>
        <v/>
      </c>
      <c r="V17">
        <f>HYPERLINK("https://klasma.github.io/Logging_0665/klagomål/A 26049-2021 FSC-klagomål.docx", "A 26049-2021")</f>
        <v/>
      </c>
      <c r="W17">
        <f>HYPERLINK("https://klasma.github.io/Logging_0665/klagomålsmail/A 26049-2021 FSC-klagomål mail.docx", "A 26049-2021")</f>
        <v/>
      </c>
      <c r="X17">
        <f>HYPERLINK("https://klasma.github.io/Logging_0665/tillsyn/A 26049-2021 tillsynsbegäran.docx", "A 26049-2021")</f>
        <v/>
      </c>
      <c r="Y17">
        <f>HYPERLINK("https://klasma.github.io/Logging_0665/tillsynsmail/A 26049-2021 tillsynsbegäran mail.docx", "A 26049-2021")</f>
        <v/>
      </c>
      <c r="Z17">
        <f>HYPERLINK("https://klasma.github.io/Logging_0665/fåglar/A 26049-2021 prioriterade fågelarter.docx", "A 26049-2021")</f>
        <v/>
      </c>
    </row>
    <row r="18" ht="15" customHeight="1">
      <c r="A18" t="inlineStr">
        <is>
          <t>A 13954-2022</t>
        </is>
      </c>
      <c r="B18" s="1" t="n">
        <v>44650</v>
      </c>
      <c r="C18" s="1" t="n">
        <v>45658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HYPERLINK("https://klasma.github.io/Logging_0665/artfynd/A 13954-2022 artfynd.xlsx", "A 13954-2022")</f>
        <v/>
      </c>
      <c r="T18">
        <f>HYPERLINK("https://klasma.github.io/Logging_0665/kartor/A 13954-2022 karta.png", "A 13954-2022")</f>
        <v/>
      </c>
      <c r="V18">
        <f>HYPERLINK("https://klasma.github.io/Logging_0665/klagomål/A 13954-2022 FSC-klagomål.docx", "A 13954-2022")</f>
        <v/>
      </c>
      <c r="W18">
        <f>HYPERLINK("https://klasma.github.io/Logging_0665/klagomålsmail/A 13954-2022 FSC-klagomål mail.docx", "A 13954-2022")</f>
        <v/>
      </c>
      <c r="X18">
        <f>HYPERLINK("https://klasma.github.io/Logging_0665/tillsyn/A 13954-2022 tillsynsbegäran.docx", "A 13954-2022")</f>
        <v/>
      </c>
      <c r="Y18">
        <f>HYPERLINK("https://klasma.github.io/Logging_0665/tillsynsmail/A 13954-2022 tillsynsbegäran mail.docx", "A 13954-2022")</f>
        <v/>
      </c>
    </row>
    <row r="19" ht="15" customHeight="1">
      <c r="A19" t="inlineStr">
        <is>
          <t>A 23211-2023</t>
        </is>
      </c>
      <c r="B19" s="1" t="n">
        <v>45071</v>
      </c>
      <c r="C19" s="1" t="n">
        <v>45658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HYPERLINK("https://klasma.github.io/Logging_0665/artfynd/A 23211-2023 artfynd.xlsx", "A 23211-2023")</f>
        <v/>
      </c>
      <c r="T19">
        <f>HYPERLINK("https://klasma.github.io/Logging_0665/kartor/A 23211-2023 karta.png", "A 23211-2023")</f>
        <v/>
      </c>
      <c r="V19">
        <f>HYPERLINK("https://klasma.github.io/Logging_0665/klagomål/A 23211-2023 FSC-klagomål.docx", "A 23211-2023")</f>
        <v/>
      </c>
      <c r="W19">
        <f>HYPERLINK("https://klasma.github.io/Logging_0665/klagomålsmail/A 23211-2023 FSC-klagomål mail.docx", "A 23211-2023")</f>
        <v/>
      </c>
      <c r="X19">
        <f>HYPERLINK("https://klasma.github.io/Logging_0665/tillsyn/A 23211-2023 tillsynsbegäran.docx", "A 23211-2023")</f>
        <v/>
      </c>
      <c r="Y19">
        <f>HYPERLINK("https://klasma.github.io/Logging_0665/tillsynsmail/A 23211-2023 tillsynsbegäran mail.docx", "A 23211-2023")</f>
        <v/>
      </c>
    </row>
    <row r="20" ht="15" customHeight="1">
      <c r="A20" t="inlineStr">
        <is>
          <t>A 24669-2023</t>
        </is>
      </c>
      <c r="B20" s="1" t="n">
        <v>45084</v>
      </c>
      <c r="C20" s="1" t="n">
        <v>45658</v>
      </c>
      <c r="D20" t="inlineStr">
        <is>
          <t>JÖNKÖPINGS LÄN</t>
        </is>
      </c>
      <c r="E20" t="inlineStr">
        <is>
          <t>VAGGERYD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HYPERLINK("https://klasma.github.io/Logging_0665/artfynd/A 24669-2023 artfynd.xlsx", "A 24669-2023")</f>
        <v/>
      </c>
      <c r="T20">
        <f>HYPERLINK("https://klasma.github.io/Logging_0665/kartor/A 24669-2023 karta.png", "A 24669-2023")</f>
        <v/>
      </c>
      <c r="V20">
        <f>HYPERLINK("https://klasma.github.io/Logging_0665/klagomål/A 24669-2023 FSC-klagomål.docx", "A 24669-2023")</f>
        <v/>
      </c>
      <c r="W20">
        <f>HYPERLINK("https://klasma.github.io/Logging_0665/klagomålsmail/A 24669-2023 FSC-klagomål mail.docx", "A 24669-2023")</f>
        <v/>
      </c>
      <c r="X20">
        <f>HYPERLINK("https://klasma.github.io/Logging_0665/tillsyn/A 24669-2023 tillsynsbegäran.docx", "A 24669-2023")</f>
        <v/>
      </c>
      <c r="Y20">
        <f>HYPERLINK("https://klasma.github.io/Logging_0665/tillsynsmail/A 24669-2023 tillsynsbegäran mail.docx", "A 24669-2023")</f>
        <v/>
      </c>
    </row>
    <row r="21" ht="15" customHeight="1">
      <c r="A21" t="inlineStr">
        <is>
          <t>A 24975-2023</t>
        </is>
      </c>
      <c r="B21" s="1" t="n">
        <v>45085</v>
      </c>
      <c r="C21" s="1" t="n">
        <v>45658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14.2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HYPERLINK("https://klasma.github.io/Logging_0665/artfynd/A 24975-2023 artfynd.xlsx", "A 24975-2023")</f>
        <v/>
      </c>
      <c r="T21">
        <f>HYPERLINK("https://klasma.github.io/Logging_0665/kartor/A 24975-2023 karta.png", "A 24975-2023")</f>
        <v/>
      </c>
      <c r="V21">
        <f>HYPERLINK("https://klasma.github.io/Logging_0665/klagomål/A 24975-2023 FSC-klagomål.docx", "A 24975-2023")</f>
        <v/>
      </c>
      <c r="W21">
        <f>HYPERLINK("https://klasma.github.io/Logging_0665/klagomålsmail/A 24975-2023 FSC-klagomål mail.docx", "A 24975-2023")</f>
        <v/>
      </c>
      <c r="X21">
        <f>HYPERLINK("https://klasma.github.io/Logging_0665/tillsyn/A 24975-2023 tillsynsbegäran.docx", "A 24975-2023")</f>
        <v/>
      </c>
      <c r="Y21">
        <f>HYPERLINK("https://klasma.github.io/Logging_0665/tillsynsmail/A 24975-2023 tillsynsbegäran mail.docx", "A 24975-2023")</f>
        <v/>
      </c>
    </row>
    <row r="22" ht="15" customHeight="1">
      <c r="A22" t="inlineStr">
        <is>
          <t>A 24970-2023</t>
        </is>
      </c>
      <c r="B22" s="1" t="n">
        <v>45085</v>
      </c>
      <c r="C22" s="1" t="n">
        <v>45658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3.4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HYPERLINK("https://klasma.github.io/Logging_0665/artfynd/A 24970-2023 artfynd.xlsx", "A 24970-2023")</f>
        <v/>
      </c>
      <c r="T22">
        <f>HYPERLINK("https://klasma.github.io/Logging_0665/kartor/A 24970-2023 karta.png", "A 24970-2023")</f>
        <v/>
      </c>
      <c r="V22">
        <f>HYPERLINK("https://klasma.github.io/Logging_0665/klagomål/A 24970-2023 FSC-klagomål.docx", "A 24970-2023")</f>
        <v/>
      </c>
      <c r="W22">
        <f>HYPERLINK("https://klasma.github.io/Logging_0665/klagomålsmail/A 24970-2023 FSC-klagomål mail.docx", "A 24970-2023")</f>
        <v/>
      </c>
      <c r="X22">
        <f>HYPERLINK("https://klasma.github.io/Logging_0665/tillsyn/A 24970-2023 tillsynsbegäran.docx", "A 24970-2023")</f>
        <v/>
      </c>
      <c r="Y22">
        <f>HYPERLINK("https://klasma.github.io/Logging_0665/tillsynsmail/A 24970-2023 tillsynsbegäran mail.docx", "A 24970-2023")</f>
        <v/>
      </c>
    </row>
    <row r="23" ht="15" customHeight="1">
      <c r="A23" t="inlineStr">
        <is>
          <t>A 43652-2023</t>
        </is>
      </c>
      <c r="B23" s="1" t="n">
        <v>45187</v>
      </c>
      <c r="C23" s="1" t="n">
        <v>45658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HYPERLINK("https://klasma.github.io/Logging_0665/artfynd/A 43652-2023 artfynd.xlsx", "A 43652-2023")</f>
        <v/>
      </c>
      <c r="T23">
        <f>HYPERLINK("https://klasma.github.io/Logging_0665/kartor/A 43652-2023 karta.png", "A 43652-2023")</f>
        <v/>
      </c>
      <c r="V23">
        <f>HYPERLINK("https://klasma.github.io/Logging_0665/klagomål/A 43652-2023 FSC-klagomål.docx", "A 43652-2023")</f>
        <v/>
      </c>
      <c r="W23">
        <f>HYPERLINK("https://klasma.github.io/Logging_0665/klagomålsmail/A 43652-2023 FSC-klagomål mail.docx", "A 43652-2023")</f>
        <v/>
      </c>
      <c r="X23">
        <f>HYPERLINK("https://klasma.github.io/Logging_0665/tillsyn/A 43652-2023 tillsynsbegäran.docx", "A 43652-2023")</f>
        <v/>
      </c>
      <c r="Y23">
        <f>HYPERLINK("https://klasma.github.io/Logging_0665/tillsynsmail/A 43652-2023 tillsynsbegäran mail.docx", "A 43652-2023")</f>
        <v/>
      </c>
    </row>
    <row r="24" ht="15" customHeight="1">
      <c r="A24" t="inlineStr">
        <is>
          <t>A 49517-2023</t>
        </is>
      </c>
      <c r="B24" s="1" t="n">
        <v>45211</v>
      </c>
      <c r="C24" s="1" t="n">
        <v>45658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8.5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HYPERLINK("https://klasma.github.io/Logging_0665/artfynd/A 49517-2023 artfynd.xlsx", "A 49517-2023")</f>
        <v/>
      </c>
      <c r="T24">
        <f>HYPERLINK("https://klasma.github.io/Logging_0665/kartor/A 49517-2023 karta.png", "A 49517-2023")</f>
        <v/>
      </c>
      <c r="V24">
        <f>HYPERLINK("https://klasma.github.io/Logging_0665/klagomål/A 49517-2023 FSC-klagomål.docx", "A 49517-2023")</f>
        <v/>
      </c>
      <c r="W24">
        <f>HYPERLINK("https://klasma.github.io/Logging_0665/klagomålsmail/A 49517-2023 FSC-klagomål mail.docx", "A 49517-2023")</f>
        <v/>
      </c>
      <c r="X24">
        <f>HYPERLINK("https://klasma.github.io/Logging_0665/tillsyn/A 49517-2023 tillsynsbegäran.docx", "A 49517-2023")</f>
        <v/>
      </c>
      <c r="Y24">
        <f>HYPERLINK("https://klasma.github.io/Logging_0665/tillsynsmail/A 49517-2023 tillsynsbegäran mail.docx", "A 49517-2023")</f>
        <v/>
      </c>
    </row>
    <row r="25" ht="15" customHeight="1">
      <c r="A25" t="inlineStr">
        <is>
          <t>A 18674-2024</t>
        </is>
      </c>
      <c r="B25" s="1" t="n">
        <v>45426</v>
      </c>
      <c r="C25" s="1" t="n">
        <v>45658</v>
      </c>
      <c r="D25" t="inlineStr">
        <is>
          <t>JÖNKÖPINGS LÄN</t>
        </is>
      </c>
      <c r="E25" t="inlineStr">
        <is>
          <t>VAGGERYD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HYPERLINK("https://klasma.github.io/Logging_0665/artfynd/A 18674-2024 artfynd.xlsx", "A 18674-2024")</f>
        <v/>
      </c>
      <c r="T25">
        <f>HYPERLINK("https://klasma.github.io/Logging_0665/kartor/A 18674-2024 karta.png", "A 18674-2024")</f>
        <v/>
      </c>
      <c r="V25">
        <f>HYPERLINK("https://klasma.github.io/Logging_0665/klagomål/A 18674-2024 FSC-klagomål.docx", "A 18674-2024")</f>
        <v/>
      </c>
      <c r="W25">
        <f>HYPERLINK("https://klasma.github.io/Logging_0665/klagomålsmail/A 18674-2024 FSC-klagomål mail.docx", "A 18674-2024")</f>
        <v/>
      </c>
      <c r="X25">
        <f>HYPERLINK("https://klasma.github.io/Logging_0665/tillsyn/A 18674-2024 tillsynsbegäran.docx", "A 18674-2024")</f>
        <v/>
      </c>
      <c r="Y25">
        <f>HYPERLINK("https://klasma.github.io/Logging_0665/tillsynsmail/A 18674-2024 tillsynsbegäran mail.docx", "A 18674-2024")</f>
        <v/>
      </c>
    </row>
    <row r="26" ht="15" customHeight="1">
      <c r="A26" t="inlineStr">
        <is>
          <t>A 25653-2024</t>
        </is>
      </c>
      <c r="B26" s="1" t="n">
        <v>45463</v>
      </c>
      <c r="C26" s="1" t="n">
        <v>45658</v>
      </c>
      <c r="D26" t="inlineStr">
        <is>
          <t>JÖNKÖPINGS LÄN</t>
        </is>
      </c>
      <c r="E26" t="inlineStr">
        <is>
          <t>VAGGERYD</t>
        </is>
      </c>
      <c r="G26" t="n">
        <v>13.3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HYPERLINK("https://klasma.github.io/Logging_0665/artfynd/A 25653-2024 artfynd.xlsx", "A 25653-2024")</f>
        <v/>
      </c>
      <c r="T26">
        <f>HYPERLINK("https://klasma.github.io/Logging_0665/kartor/A 25653-2024 karta.png", "A 25653-2024")</f>
        <v/>
      </c>
      <c r="V26">
        <f>HYPERLINK("https://klasma.github.io/Logging_0665/klagomål/A 25653-2024 FSC-klagomål.docx", "A 25653-2024")</f>
        <v/>
      </c>
      <c r="W26">
        <f>HYPERLINK("https://klasma.github.io/Logging_0665/klagomålsmail/A 25653-2024 FSC-klagomål mail.docx", "A 25653-2024")</f>
        <v/>
      </c>
      <c r="X26">
        <f>HYPERLINK("https://klasma.github.io/Logging_0665/tillsyn/A 25653-2024 tillsynsbegäran.docx", "A 25653-2024")</f>
        <v/>
      </c>
      <c r="Y26">
        <f>HYPERLINK("https://klasma.github.io/Logging_0665/tillsynsmail/A 25653-2024 tillsynsbegäran mail.docx", "A 25653-2024")</f>
        <v/>
      </c>
    </row>
    <row r="27" ht="15" customHeight="1">
      <c r="A27" t="inlineStr">
        <is>
          <t>A 35713-2024</t>
        </is>
      </c>
      <c r="B27" s="1" t="n">
        <v>45532</v>
      </c>
      <c r="C27" s="1" t="n">
        <v>45658</v>
      </c>
      <c r="D27" t="inlineStr">
        <is>
          <t>JÖNKÖPINGS LÄN</t>
        </is>
      </c>
      <c r="E27" t="inlineStr">
        <is>
          <t>VAGGERYD</t>
        </is>
      </c>
      <c r="F27" t="inlineStr">
        <is>
          <t>Övriga Aktiebolag</t>
        </is>
      </c>
      <c r="G27" t="n">
        <v>6.1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Narrklibbfibbla</t>
        </is>
      </c>
      <c r="S27">
        <f>HYPERLINK("https://klasma.github.io/Logging_0665/artfynd/A 35713-2024 artfynd.xlsx", "A 35713-2024")</f>
        <v/>
      </c>
      <c r="T27">
        <f>HYPERLINK("https://klasma.github.io/Logging_0665/kartor/A 35713-2024 karta.png", "A 35713-2024")</f>
        <v/>
      </c>
      <c r="V27">
        <f>HYPERLINK("https://klasma.github.io/Logging_0665/klagomål/A 35713-2024 FSC-klagomål.docx", "A 35713-2024")</f>
        <v/>
      </c>
      <c r="W27">
        <f>HYPERLINK("https://klasma.github.io/Logging_0665/klagomålsmail/A 35713-2024 FSC-klagomål mail.docx", "A 35713-2024")</f>
        <v/>
      </c>
      <c r="X27">
        <f>HYPERLINK("https://klasma.github.io/Logging_0665/tillsyn/A 35713-2024 tillsynsbegäran.docx", "A 35713-2024")</f>
        <v/>
      </c>
      <c r="Y27">
        <f>HYPERLINK("https://klasma.github.io/Logging_0665/tillsynsmail/A 35713-2024 tillsynsbegäran mail.docx", "A 35713-2024")</f>
        <v/>
      </c>
    </row>
    <row r="28" ht="15" customHeight="1">
      <c r="A28" t="inlineStr">
        <is>
          <t>A 36943-2024</t>
        </is>
      </c>
      <c r="B28" s="1" t="n">
        <v>45538</v>
      </c>
      <c r="C28" s="1" t="n">
        <v>45658</v>
      </c>
      <c r="D28" t="inlineStr">
        <is>
          <t>JÖNKÖPINGS LÄN</t>
        </is>
      </c>
      <c r="E28" t="inlineStr">
        <is>
          <t>VAGGERYD</t>
        </is>
      </c>
      <c r="G28" t="n">
        <v>3.9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Trådvaxskivling</t>
        </is>
      </c>
      <c r="S28">
        <f>HYPERLINK("https://klasma.github.io/Logging_0665/artfynd/A 36943-2024 artfynd.xlsx", "A 36943-2024")</f>
        <v/>
      </c>
      <c r="T28">
        <f>HYPERLINK("https://klasma.github.io/Logging_0665/kartor/A 36943-2024 karta.png", "A 36943-2024")</f>
        <v/>
      </c>
      <c r="V28">
        <f>HYPERLINK("https://klasma.github.io/Logging_0665/klagomål/A 36943-2024 FSC-klagomål.docx", "A 36943-2024")</f>
        <v/>
      </c>
      <c r="W28">
        <f>HYPERLINK("https://klasma.github.io/Logging_0665/klagomålsmail/A 36943-2024 FSC-klagomål mail.docx", "A 36943-2024")</f>
        <v/>
      </c>
      <c r="X28">
        <f>HYPERLINK("https://klasma.github.io/Logging_0665/tillsyn/A 36943-2024 tillsynsbegäran.docx", "A 36943-2024")</f>
        <v/>
      </c>
      <c r="Y28">
        <f>HYPERLINK("https://klasma.github.io/Logging_0665/tillsynsmail/A 36943-2024 tillsynsbegäran mail.docx", "A 36943-2024")</f>
        <v/>
      </c>
    </row>
    <row r="29" ht="15" customHeight="1">
      <c r="A29" t="inlineStr">
        <is>
          <t>A 49932-2024</t>
        </is>
      </c>
      <c r="B29" s="1" t="n">
        <v>45597</v>
      </c>
      <c r="C29" s="1" t="n">
        <v>45658</v>
      </c>
      <c r="D29" t="inlineStr">
        <is>
          <t>JÖNKÖPINGS LÄN</t>
        </is>
      </c>
      <c r="E29" t="inlineStr">
        <is>
          <t>VAGGERYD</t>
        </is>
      </c>
      <c r="G29" t="n">
        <v>1.4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HYPERLINK("https://klasma.github.io/Logging_0665/artfynd/A 49932-2024 artfynd.xlsx", "A 49932-2024")</f>
        <v/>
      </c>
      <c r="T29">
        <f>HYPERLINK("https://klasma.github.io/Logging_0665/kartor/A 49932-2024 karta.png", "A 49932-2024")</f>
        <v/>
      </c>
      <c r="V29">
        <f>HYPERLINK("https://klasma.github.io/Logging_0665/klagomål/A 49932-2024 FSC-klagomål.docx", "A 49932-2024")</f>
        <v/>
      </c>
      <c r="W29">
        <f>HYPERLINK("https://klasma.github.io/Logging_0665/klagomålsmail/A 49932-2024 FSC-klagomål mail.docx", "A 49932-2024")</f>
        <v/>
      </c>
      <c r="X29">
        <f>HYPERLINK("https://klasma.github.io/Logging_0665/tillsyn/A 49932-2024 tillsynsbegäran.docx", "A 49932-2024")</f>
        <v/>
      </c>
      <c r="Y29">
        <f>HYPERLINK("https://klasma.github.io/Logging_0665/tillsynsmail/A 49932-2024 tillsynsbegäran mail.docx", "A 49932-2024")</f>
        <v/>
      </c>
    </row>
    <row r="30" ht="15" customHeight="1">
      <c r="A30" t="inlineStr">
        <is>
          <t>A 59808-2024</t>
        </is>
      </c>
      <c r="B30" s="1" t="n">
        <v>45639</v>
      </c>
      <c r="C30" s="1" t="n">
        <v>45658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Strandlummer</t>
        </is>
      </c>
      <c r="S30">
        <f>HYPERLINK("https://klasma.github.io/Logging_0665/artfynd/A 59808-2024 artfynd.xlsx", "A 59808-2024")</f>
        <v/>
      </c>
      <c r="T30">
        <f>HYPERLINK("https://klasma.github.io/Logging_0665/kartor/A 59808-2024 karta.png", "A 59808-2024")</f>
        <v/>
      </c>
      <c r="V30">
        <f>HYPERLINK("https://klasma.github.io/Logging_0665/klagomål/A 59808-2024 FSC-klagomål.docx", "A 59808-2024")</f>
        <v/>
      </c>
      <c r="W30">
        <f>HYPERLINK("https://klasma.github.io/Logging_0665/klagomålsmail/A 59808-2024 FSC-klagomål mail.docx", "A 59808-2024")</f>
        <v/>
      </c>
      <c r="X30">
        <f>HYPERLINK("https://klasma.github.io/Logging_0665/tillsyn/A 59808-2024 tillsynsbegäran.docx", "A 59808-2024")</f>
        <v/>
      </c>
      <c r="Y30">
        <f>HYPERLINK("https://klasma.github.io/Logging_0665/tillsynsmail/A 59808-2024 tillsynsbegäran mail.docx", "A 59808-2024")</f>
        <v/>
      </c>
    </row>
    <row r="31" ht="15" customHeight="1">
      <c r="A31" t="inlineStr">
        <is>
          <t>A 17760-2019</t>
        </is>
      </c>
      <c r="B31" s="1" t="n">
        <v>43556</v>
      </c>
      <c r="C31" s="1" t="n">
        <v>45658</v>
      </c>
      <c r="D31" t="inlineStr">
        <is>
          <t>JÖNKÖPINGS LÄN</t>
        </is>
      </c>
      <c r="E31" t="inlineStr">
        <is>
          <t>VAGGERYD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19134-2019</t>
        </is>
      </c>
      <c r="B32" s="1" t="n">
        <v>43564</v>
      </c>
      <c r="C32" s="1" t="n">
        <v>45658</v>
      </c>
      <c r="D32" t="inlineStr">
        <is>
          <t>JÖNKÖPINGS LÄN</t>
        </is>
      </c>
      <c r="E32" t="inlineStr">
        <is>
          <t>VAGGERYD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19409-2019</t>
        </is>
      </c>
      <c r="B33" s="1" t="n">
        <v>43565</v>
      </c>
      <c r="C33" s="1" t="n">
        <v>45658</v>
      </c>
      <c r="D33" t="inlineStr">
        <is>
          <t>JÖNKÖPINGS LÄN</t>
        </is>
      </c>
      <c r="E33" t="inlineStr">
        <is>
          <t>VAGGERYD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19369-2019</t>
        </is>
      </c>
      <c r="B34" s="1" t="n">
        <v>43565</v>
      </c>
      <c r="C34" s="1" t="n">
        <v>45658</v>
      </c>
      <c r="D34" t="inlineStr">
        <is>
          <t>JÖNKÖPINGS LÄN</t>
        </is>
      </c>
      <c r="E34" t="inlineStr">
        <is>
          <t>VAGGERYD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19806-2019</t>
        </is>
      </c>
      <c r="B35" s="1" t="n">
        <v>43567</v>
      </c>
      <c r="C35" s="1" t="n">
        <v>45658</v>
      </c>
      <c r="D35" t="inlineStr">
        <is>
          <t>JÖNKÖPINGS LÄN</t>
        </is>
      </c>
      <c r="E35" t="inlineStr">
        <is>
          <t>VAGGERYD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20766-2019</t>
        </is>
      </c>
      <c r="B36" s="1" t="n">
        <v>43573</v>
      </c>
      <c r="C36" s="1" t="n">
        <v>45658</v>
      </c>
      <c r="D36" t="inlineStr">
        <is>
          <t>JÖNKÖPINGS LÄN</t>
        </is>
      </c>
      <c r="E36" t="inlineStr">
        <is>
          <t>VAGGERYD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21217-2019</t>
        </is>
      </c>
      <c r="B37" s="1" t="n">
        <v>43579</v>
      </c>
      <c r="C37" s="1" t="n">
        <v>45658</v>
      </c>
      <c r="D37" t="inlineStr">
        <is>
          <t>JÖNKÖPINGS LÄN</t>
        </is>
      </c>
      <c r="E37" t="inlineStr">
        <is>
          <t>VAGGERYD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21481-2019</t>
        </is>
      </c>
      <c r="B38" s="1" t="n">
        <v>43580</v>
      </c>
      <c r="C38" s="1" t="n">
        <v>45658</v>
      </c>
      <c r="D38" t="inlineStr">
        <is>
          <t>JÖNKÖPINGS LÄN</t>
        </is>
      </c>
      <c r="E38" t="inlineStr">
        <is>
          <t>VAGGERYD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22680-2019</t>
        </is>
      </c>
      <c r="B39" s="1" t="n">
        <v>43588</v>
      </c>
      <c r="C39" s="1" t="n">
        <v>45658</v>
      </c>
      <c r="D39" t="inlineStr">
        <is>
          <t>JÖNKÖPINGS LÄN</t>
        </is>
      </c>
      <c r="E39" t="inlineStr">
        <is>
          <t>VAGGERYD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22991-2019</t>
        </is>
      </c>
      <c r="B40" s="1" t="n">
        <v>43588</v>
      </c>
      <c r="C40" s="1" t="n">
        <v>45658</v>
      </c>
      <c r="D40" t="inlineStr">
        <is>
          <t>JÖNKÖPINGS LÄN</t>
        </is>
      </c>
      <c r="E40" t="inlineStr">
        <is>
          <t>VAGGERYD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22678-2019</t>
        </is>
      </c>
      <c r="B41" s="1" t="n">
        <v>43588</v>
      </c>
      <c r="C41" s="1" t="n">
        <v>45658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22676-2019</t>
        </is>
      </c>
      <c r="B42" s="1" t="n">
        <v>43588</v>
      </c>
      <c r="C42" s="1" t="n">
        <v>45658</v>
      </c>
      <c r="D42" t="inlineStr">
        <is>
          <t>JÖNKÖPINGS LÄN</t>
        </is>
      </c>
      <c r="E42" t="inlineStr">
        <is>
          <t>VAGGERYD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22681-2019</t>
        </is>
      </c>
      <c r="B43" s="1" t="n">
        <v>43588</v>
      </c>
      <c r="C43" s="1" t="n">
        <v>45658</v>
      </c>
      <c r="D43" t="inlineStr">
        <is>
          <t>JÖNKÖPINGS LÄN</t>
        </is>
      </c>
      <c r="E43" t="inlineStr">
        <is>
          <t>VAGGERYD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22814-2019</t>
        </is>
      </c>
      <c r="B44" s="1" t="n">
        <v>43590</v>
      </c>
      <c r="C44" s="1" t="n">
        <v>45658</v>
      </c>
      <c r="D44" t="inlineStr">
        <is>
          <t>JÖNKÖPINGS LÄN</t>
        </is>
      </c>
      <c r="E44" t="inlineStr">
        <is>
          <t>VAGGERYD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23024-2019</t>
        </is>
      </c>
      <c r="B45" s="1" t="n">
        <v>43591</v>
      </c>
      <c r="C45" s="1" t="n">
        <v>45658</v>
      </c>
      <c r="D45" t="inlineStr">
        <is>
          <t>JÖNKÖPINGS LÄN</t>
        </is>
      </c>
      <c r="E45" t="inlineStr">
        <is>
          <t>VAGGERYD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23602-2019</t>
        </is>
      </c>
      <c r="B46" s="1" t="n">
        <v>43594</v>
      </c>
      <c r="C46" s="1" t="n">
        <v>45658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24329-2019</t>
        </is>
      </c>
      <c r="B47" s="1" t="n">
        <v>43599</v>
      </c>
      <c r="C47" s="1" t="n">
        <v>45658</v>
      </c>
      <c r="D47" t="inlineStr">
        <is>
          <t>JÖNKÖPINGS LÄN</t>
        </is>
      </c>
      <c r="E47" t="inlineStr">
        <is>
          <t>VAGGERYD</t>
        </is>
      </c>
      <c r="G47" t="n">
        <v>10.9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26908-2019</t>
        </is>
      </c>
      <c r="B48" s="1" t="n">
        <v>43609</v>
      </c>
      <c r="C48" s="1" t="n">
        <v>45658</v>
      </c>
      <c r="D48" t="inlineStr">
        <is>
          <t>JÖNKÖPINGS LÄN</t>
        </is>
      </c>
      <c r="E48" t="inlineStr">
        <is>
          <t>VAGGERYD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26732-2019</t>
        </is>
      </c>
      <c r="B49" s="1" t="n">
        <v>43613</v>
      </c>
      <c r="C49" s="1" t="n">
        <v>45658</v>
      </c>
      <c r="D49" t="inlineStr">
        <is>
          <t>JÖNKÖPINGS LÄN</t>
        </is>
      </c>
      <c r="E49" t="inlineStr">
        <is>
          <t>VAGGERYD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28445-2019</t>
        </is>
      </c>
      <c r="B50" s="1" t="n">
        <v>43626</v>
      </c>
      <c r="C50" s="1" t="n">
        <v>45658</v>
      </c>
      <c r="D50" t="inlineStr">
        <is>
          <t>JÖNKÖPINGS LÄN</t>
        </is>
      </c>
      <c r="E50" t="inlineStr">
        <is>
          <t>VAGGERYD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29189-2019</t>
        </is>
      </c>
      <c r="B51" s="1" t="n">
        <v>43629</v>
      </c>
      <c r="C51" s="1" t="n">
        <v>45658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29914-2019</t>
        </is>
      </c>
      <c r="B52" s="1" t="n">
        <v>43633</v>
      </c>
      <c r="C52" s="1" t="n">
        <v>45658</v>
      </c>
      <c r="D52" t="inlineStr">
        <is>
          <t>JÖNKÖPINGS LÄN</t>
        </is>
      </c>
      <c r="E52" t="inlineStr">
        <is>
          <t>VAGGERYD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32940-2019</t>
        </is>
      </c>
      <c r="B53" s="1" t="n">
        <v>43648</v>
      </c>
      <c r="C53" s="1" t="n">
        <v>45658</v>
      </c>
      <c r="D53" t="inlineStr">
        <is>
          <t>JÖNKÖPINGS LÄN</t>
        </is>
      </c>
      <c r="E53" t="inlineStr">
        <is>
          <t>VAGGERYD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32938-2019</t>
        </is>
      </c>
      <c r="B54" s="1" t="n">
        <v>43648</v>
      </c>
      <c r="C54" s="1" t="n">
        <v>45658</v>
      </c>
      <c r="D54" t="inlineStr">
        <is>
          <t>JÖNKÖPINGS LÄN</t>
        </is>
      </c>
      <c r="E54" t="inlineStr">
        <is>
          <t>VAGGERYD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36089-2019</t>
        </is>
      </c>
      <c r="B55" s="1" t="n">
        <v>43668</v>
      </c>
      <c r="C55" s="1" t="n">
        <v>45658</v>
      </c>
      <c r="D55" t="inlineStr">
        <is>
          <t>JÖNKÖPINGS LÄN</t>
        </is>
      </c>
      <c r="E55" t="inlineStr">
        <is>
          <t>VAGGERYD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36922-2019</t>
        </is>
      </c>
      <c r="B56" s="1" t="n">
        <v>43675</v>
      </c>
      <c r="C56" s="1" t="n">
        <v>45658</v>
      </c>
      <c r="D56" t="inlineStr">
        <is>
          <t>JÖNKÖPINGS LÄN</t>
        </is>
      </c>
      <c r="E56" t="inlineStr">
        <is>
          <t>VAGGERYD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38473-2019</t>
        </is>
      </c>
      <c r="B57" s="1" t="n">
        <v>43685</v>
      </c>
      <c r="C57" s="1" t="n">
        <v>45658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39605-2019</t>
        </is>
      </c>
      <c r="B58" s="1" t="n">
        <v>43686</v>
      </c>
      <c r="C58" s="1" t="n">
        <v>45658</v>
      </c>
      <c r="D58" t="inlineStr">
        <is>
          <t>JÖNKÖPINGS LÄN</t>
        </is>
      </c>
      <c r="E58" t="inlineStr">
        <is>
          <t>VAGGERYD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39101-2019</t>
        </is>
      </c>
      <c r="B59" s="1" t="n">
        <v>43689</v>
      </c>
      <c r="C59" s="1" t="n">
        <v>45658</v>
      </c>
      <c r="D59" t="inlineStr">
        <is>
          <t>JÖNKÖPINGS LÄN</t>
        </is>
      </c>
      <c r="E59" t="inlineStr">
        <is>
          <t>VAGGERYD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40234-2019</t>
        </is>
      </c>
      <c r="B60" s="1" t="n">
        <v>43694</v>
      </c>
      <c r="C60" s="1" t="n">
        <v>45658</v>
      </c>
      <c r="D60" t="inlineStr">
        <is>
          <t>JÖNKÖPINGS LÄN</t>
        </is>
      </c>
      <c r="E60" t="inlineStr">
        <is>
          <t>VAGGERYD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41361-2019</t>
        </is>
      </c>
      <c r="B61" s="1" t="n">
        <v>43696</v>
      </c>
      <c r="C61" s="1" t="n">
        <v>45658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44417-2019</t>
        </is>
      </c>
      <c r="B62" s="1" t="n">
        <v>43711</v>
      </c>
      <c r="C62" s="1" t="n">
        <v>45658</v>
      </c>
      <c r="D62" t="inlineStr">
        <is>
          <t>JÖNKÖPINGS LÄN</t>
        </is>
      </c>
      <c r="E62" t="inlineStr">
        <is>
          <t>VAGGERYD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48386-2019</t>
        </is>
      </c>
      <c r="B63" s="1" t="n">
        <v>43726</v>
      </c>
      <c r="C63" s="1" t="n">
        <v>45658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48388-2019</t>
        </is>
      </c>
      <c r="B64" s="1" t="n">
        <v>43726</v>
      </c>
      <c r="C64" s="1" t="n">
        <v>45658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52515-2019</t>
        </is>
      </c>
      <c r="B65" s="1" t="n">
        <v>43745</v>
      </c>
      <c r="C65" s="1" t="n">
        <v>45658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54484-2019</t>
        </is>
      </c>
      <c r="B66" s="1" t="n">
        <v>43754</v>
      </c>
      <c r="C66" s="1" t="n">
        <v>45658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56295-2019</t>
        </is>
      </c>
      <c r="B67" s="1" t="n">
        <v>43762</v>
      </c>
      <c r="C67" s="1" t="n">
        <v>45658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56549-2019</t>
        </is>
      </c>
      <c r="B68" s="1" t="n">
        <v>43763</v>
      </c>
      <c r="C68" s="1" t="n">
        <v>45658</v>
      </c>
      <c r="D68" t="inlineStr">
        <is>
          <t>JÖNKÖPINGS LÄN</t>
        </is>
      </c>
      <c r="E68" t="inlineStr">
        <is>
          <t>VAGGERYD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56540-2019</t>
        </is>
      </c>
      <c r="B69" s="1" t="n">
        <v>43763</v>
      </c>
      <c r="C69" s="1" t="n">
        <v>45658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58404-2019</t>
        </is>
      </c>
      <c r="B70" s="1" t="n">
        <v>43772</v>
      </c>
      <c r="C70" s="1" t="n">
        <v>45658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statliga verk och myndigheter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62531-2019</t>
        </is>
      </c>
      <c r="B71" s="1" t="n">
        <v>43783</v>
      </c>
      <c r="C71" s="1" t="n">
        <v>45658</v>
      </c>
      <c r="D71" t="inlineStr">
        <is>
          <t>JÖNKÖPINGS LÄN</t>
        </is>
      </c>
      <c r="E71" t="inlineStr">
        <is>
          <t>VAGGERYD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65746-2019</t>
        </is>
      </c>
      <c r="B72" s="1" t="n">
        <v>43804</v>
      </c>
      <c r="C72" s="1" t="n">
        <v>45658</v>
      </c>
      <c r="D72" t="inlineStr">
        <is>
          <t>JÖNKÖPINGS LÄN</t>
        </is>
      </c>
      <c r="E72" t="inlineStr">
        <is>
          <t>VAGGERYD</t>
        </is>
      </c>
      <c r="F72" t="inlineStr">
        <is>
          <t>Övriga statliga verk och myndigheter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68227-2019</t>
        </is>
      </c>
      <c r="B73" s="1" t="n">
        <v>43817</v>
      </c>
      <c r="C73" s="1" t="n">
        <v>45658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22-2020</t>
        </is>
      </c>
      <c r="B74" s="1" t="n">
        <v>43832</v>
      </c>
      <c r="C74" s="1" t="n">
        <v>45658</v>
      </c>
      <c r="D74" t="inlineStr">
        <is>
          <t>JÖNKÖPINGS LÄN</t>
        </is>
      </c>
      <c r="E74" t="inlineStr">
        <is>
          <t>VAGGERYD</t>
        </is>
      </c>
      <c r="F74" t="inlineStr">
        <is>
          <t>Kommuner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2045-2020</t>
        </is>
      </c>
      <c r="B75" s="1" t="n">
        <v>43845</v>
      </c>
      <c r="C75" s="1" t="n">
        <v>45658</v>
      </c>
      <c r="D75" t="inlineStr">
        <is>
          <t>JÖNKÖPINGS LÄN</t>
        </is>
      </c>
      <c r="E75" t="inlineStr">
        <is>
          <t>VAGGERYD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2518-2020</t>
        </is>
      </c>
      <c r="B76" s="1" t="n">
        <v>43847</v>
      </c>
      <c r="C76" s="1" t="n">
        <v>45658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2482-2020</t>
        </is>
      </c>
      <c r="B77" s="1" t="n">
        <v>43847</v>
      </c>
      <c r="C77" s="1" t="n">
        <v>45658</v>
      </c>
      <c r="D77" t="inlineStr">
        <is>
          <t>JÖNKÖPINGS LÄN</t>
        </is>
      </c>
      <c r="E77" t="inlineStr">
        <is>
          <t>VAGGERYD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3922-2020</t>
        </is>
      </c>
      <c r="B78" s="1" t="n">
        <v>43854</v>
      </c>
      <c r="C78" s="1" t="n">
        <v>45658</v>
      </c>
      <c r="D78" t="inlineStr">
        <is>
          <t>JÖNKÖPINGS LÄN</t>
        </is>
      </c>
      <c r="E78" t="inlineStr">
        <is>
          <t>VAGGERYD</t>
        </is>
      </c>
      <c r="F78" t="inlineStr">
        <is>
          <t>Kommuner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3925-2020</t>
        </is>
      </c>
      <c r="B79" s="1" t="n">
        <v>43854</v>
      </c>
      <c r="C79" s="1" t="n">
        <v>45658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6139-2020</t>
        </is>
      </c>
      <c r="B80" s="1" t="n">
        <v>43865</v>
      </c>
      <c r="C80" s="1" t="n">
        <v>45658</v>
      </c>
      <c r="D80" t="inlineStr">
        <is>
          <t>JÖNKÖPINGS LÄN</t>
        </is>
      </c>
      <c r="E80" t="inlineStr">
        <is>
          <t>VAGGERYD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8201-2020</t>
        </is>
      </c>
      <c r="B81" s="1" t="n">
        <v>43873</v>
      </c>
      <c r="C81" s="1" t="n">
        <v>45658</v>
      </c>
      <c r="D81" t="inlineStr">
        <is>
          <t>JÖNKÖPINGS LÄN</t>
        </is>
      </c>
      <c r="E81" t="inlineStr">
        <is>
          <t>VAGGERYD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8206-2020</t>
        </is>
      </c>
      <c r="B82" s="1" t="n">
        <v>43873</v>
      </c>
      <c r="C82" s="1" t="n">
        <v>45658</v>
      </c>
      <c r="D82" t="inlineStr">
        <is>
          <t>JÖNKÖPINGS LÄN</t>
        </is>
      </c>
      <c r="E82" t="inlineStr">
        <is>
          <t>VAGGERYD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9010-2020</t>
        </is>
      </c>
      <c r="B83" s="1" t="n">
        <v>43878</v>
      </c>
      <c r="C83" s="1" t="n">
        <v>45658</v>
      </c>
      <c r="D83" t="inlineStr">
        <is>
          <t>JÖNKÖPINGS LÄN</t>
        </is>
      </c>
      <c r="E83" t="inlineStr">
        <is>
          <t>VAGGERYD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9103-2020</t>
        </is>
      </c>
      <c r="B84" s="1" t="n">
        <v>43879</v>
      </c>
      <c r="C84" s="1" t="n">
        <v>45658</v>
      </c>
      <c r="D84" t="inlineStr">
        <is>
          <t>JÖNKÖPINGS LÄN</t>
        </is>
      </c>
      <c r="E84" t="inlineStr">
        <is>
          <t>VAGGERYD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11150-2020</t>
        </is>
      </c>
      <c r="B85" s="1" t="n">
        <v>43891</v>
      </c>
      <c r="C85" s="1" t="n">
        <v>45658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12694-2020</t>
        </is>
      </c>
      <c r="B86" s="1" t="n">
        <v>43893</v>
      </c>
      <c r="C86" s="1" t="n">
        <v>45658</v>
      </c>
      <c r="D86" t="inlineStr">
        <is>
          <t>JÖNKÖPINGS LÄN</t>
        </is>
      </c>
      <c r="E86" t="inlineStr">
        <is>
          <t>VAGGERYD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13169-2020</t>
        </is>
      </c>
      <c r="B87" s="1" t="n">
        <v>43901</v>
      </c>
      <c r="C87" s="1" t="n">
        <v>45658</v>
      </c>
      <c r="D87" t="inlineStr">
        <is>
          <t>JÖNKÖPINGS LÄN</t>
        </is>
      </c>
      <c r="E87" t="inlineStr">
        <is>
          <t>VAGGERYD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13457-2020</t>
        </is>
      </c>
      <c r="B88" s="1" t="n">
        <v>43902</v>
      </c>
      <c r="C88" s="1" t="n">
        <v>45658</v>
      </c>
      <c r="D88" t="inlineStr">
        <is>
          <t>JÖNKÖPINGS LÄN</t>
        </is>
      </c>
      <c r="E88" t="inlineStr">
        <is>
          <t>VAGGERYD</t>
        </is>
      </c>
      <c r="F88" t="inlineStr">
        <is>
          <t>Sveaskog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14647-2020</t>
        </is>
      </c>
      <c r="B89" s="1" t="n">
        <v>43902</v>
      </c>
      <c r="C89" s="1" t="n">
        <v>45658</v>
      </c>
      <c r="D89" t="inlineStr">
        <is>
          <t>JÖNKÖPINGS LÄN</t>
        </is>
      </c>
      <c r="E89" t="inlineStr">
        <is>
          <t>VAGGERYD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13877-2020</t>
        </is>
      </c>
      <c r="B90" s="1" t="n">
        <v>43906</v>
      </c>
      <c r="C90" s="1" t="n">
        <v>45658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15508-2020</t>
        </is>
      </c>
      <c r="B91" s="1" t="n">
        <v>43914</v>
      </c>
      <c r="C91" s="1" t="n">
        <v>45658</v>
      </c>
      <c r="D91" t="inlineStr">
        <is>
          <t>JÖNKÖPINGS LÄN</t>
        </is>
      </c>
      <c r="E91" t="inlineStr">
        <is>
          <t>VAGGERYD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16370-2020</t>
        </is>
      </c>
      <c r="B92" s="1" t="n">
        <v>43917</v>
      </c>
      <c r="C92" s="1" t="n">
        <v>45658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16763-2020</t>
        </is>
      </c>
      <c r="B93" s="1" t="n">
        <v>43920</v>
      </c>
      <c r="C93" s="1" t="n">
        <v>45658</v>
      </c>
      <c r="D93" t="inlineStr">
        <is>
          <t>JÖNKÖPINGS LÄN</t>
        </is>
      </c>
      <c r="E93" t="inlineStr">
        <is>
          <t>VAGGERYD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16764-2020</t>
        </is>
      </c>
      <c r="B94" s="1" t="n">
        <v>43920</v>
      </c>
      <c r="C94" s="1" t="n">
        <v>45658</v>
      </c>
      <c r="D94" t="inlineStr">
        <is>
          <t>JÖNKÖPINGS LÄN</t>
        </is>
      </c>
      <c r="E94" t="inlineStr">
        <is>
          <t>VAGGERYD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18843-2020</t>
        </is>
      </c>
      <c r="B95" s="1" t="n">
        <v>43935</v>
      </c>
      <c r="C95" s="1" t="n">
        <v>45658</v>
      </c>
      <c r="D95" t="inlineStr">
        <is>
          <t>JÖNKÖPINGS LÄN</t>
        </is>
      </c>
      <c r="E95" t="inlineStr">
        <is>
          <t>VAGGERYD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18845-2020</t>
        </is>
      </c>
      <c r="B96" s="1" t="n">
        <v>43935</v>
      </c>
      <c r="C96" s="1" t="n">
        <v>45658</v>
      </c>
      <c r="D96" t="inlineStr">
        <is>
          <t>JÖNKÖPINGS LÄN</t>
        </is>
      </c>
      <c r="E96" t="inlineStr">
        <is>
          <t>VAGGERYD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21289-2020</t>
        </is>
      </c>
      <c r="B97" s="1" t="n">
        <v>43955</v>
      </c>
      <c r="C97" s="1" t="n">
        <v>45658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21717-2020</t>
        </is>
      </c>
      <c r="B98" s="1" t="n">
        <v>43957</v>
      </c>
      <c r="C98" s="1" t="n">
        <v>45658</v>
      </c>
      <c r="D98" t="inlineStr">
        <is>
          <t>JÖNKÖPINGS LÄN</t>
        </is>
      </c>
      <c r="E98" t="inlineStr">
        <is>
          <t>VAGGERYD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21716-2020</t>
        </is>
      </c>
      <c r="B99" s="1" t="n">
        <v>43957</v>
      </c>
      <c r="C99" s="1" t="n">
        <v>45658</v>
      </c>
      <c r="D99" t="inlineStr">
        <is>
          <t>JÖNKÖPINGS LÄN</t>
        </is>
      </c>
      <c r="E99" t="inlineStr">
        <is>
          <t>VAGGERYD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21715-2020</t>
        </is>
      </c>
      <c r="B100" s="1" t="n">
        <v>43957</v>
      </c>
      <c r="C100" s="1" t="n">
        <v>45658</v>
      </c>
      <c r="D100" t="inlineStr">
        <is>
          <t>JÖNKÖPINGS LÄN</t>
        </is>
      </c>
      <c r="E100" t="inlineStr">
        <is>
          <t>VAGGERYD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21721-2020</t>
        </is>
      </c>
      <c r="B101" s="1" t="n">
        <v>43957</v>
      </c>
      <c r="C101" s="1" t="n">
        <v>45658</v>
      </c>
      <c r="D101" t="inlineStr">
        <is>
          <t>JÖNKÖPINGS LÄN</t>
        </is>
      </c>
      <c r="E101" t="inlineStr">
        <is>
          <t>VAGGERYD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25694-2020</t>
        </is>
      </c>
      <c r="B102" s="1" t="n">
        <v>43984</v>
      </c>
      <c r="C102" s="1" t="n">
        <v>45658</v>
      </c>
      <c r="D102" t="inlineStr">
        <is>
          <t>JÖNKÖPINGS LÄN</t>
        </is>
      </c>
      <c r="E102" t="inlineStr">
        <is>
          <t>VAGGERYD</t>
        </is>
      </c>
      <c r="F102" t="inlineStr">
        <is>
          <t>Övriga statliga verk och myndigheter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25799-2020</t>
        </is>
      </c>
      <c r="B103" s="1" t="n">
        <v>43984</v>
      </c>
      <c r="C103" s="1" t="n">
        <v>45658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25691-2020</t>
        </is>
      </c>
      <c r="B104" s="1" t="n">
        <v>43984</v>
      </c>
      <c r="C104" s="1" t="n">
        <v>45658</v>
      </c>
      <c r="D104" t="inlineStr">
        <is>
          <t>JÖNKÖPINGS LÄN</t>
        </is>
      </c>
      <c r="E104" t="inlineStr">
        <is>
          <t>VAGGERYD</t>
        </is>
      </c>
      <c r="F104" t="inlineStr">
        <is>
          <t>Övriga statliga verk och myndigheter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25964-2020</t>
        </is>
      </c>
      <c r="B105" s="1" t="n">
        <v>43985</v>
      </c>
      <c r="C105" s="1" t="n">
        <v>45658</v>
      </c>
      <c r="D105" t="inlineStr">
        <is>
          <t>JÖNKÖPINGS LÄN</t>
        </is>
      </c>
      <c r="E105" t="inlineStr">
        <is>
          <t>VAGGERYD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26091-2020</t>
        </is>
      </c>
      <c r="B106" s="1" t="n">
        <v>43985</v>
      </c>
      <c r="C106" s="1" t="n">
        <v>45658</v>
      </c>
      <c r="D106" t="inlineStr">
        <is>
          <t>JÖNKÖPINGS LÄN</t>
        </is>
      </c>
      <c r="E106" t="inlineStr">
        <is>
          <t>VAGGERYD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26040-2020</t>
        </is>
      </c>
      <c r="B107" s="1" t="n">
        <v>43985</v>
      </c>
      <c r="C107" s="1" t="n">
        <v>45658</v>
      </c>
      <c r="D107" t="inlineStr">
        <is>
          <t>JÖNKÖPINGS LÄN</t>
        </is>
      </c>
      <c r="E107" t="inlineStr">
        <is>
          <t>VAGGERYD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28508-2020</t>
        </is>
      </c>
      <c r="B108" s="1" t="n">
        <v>43999</v>
      </c>
      <c r="C108" s="1" t="n">
        <v>45658</v>
      </c>
      <c r="D108" t="inlineStr">
        <is>
          <t>JÖNKÖPINGS LÄN</t>
        </is>
      </c>
      <c r="E108" t="inlineStr">
        <is>
          <t>VAGGERYD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31054-2020</t>
        </is>
      </c>
      <c r="B109" s="1" t="n">
        <v>44012</v>
      </c>
      <c r="C109" s="1" t="n">
        <v>45658</v>
      </c>
      <c r="D109" t="inlineStr">
        <is>
          <t>JÖNKÖPINGS LÄN</t>
        </is>
      </c>
      <c r="E109" t="inlineStr">
        <is>
          <t>VAGGERYD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31528-2020</t>
        </is>
      </c>
      <c r="B110" s="1" t="n">
        <v>44013</v>
      </c>
      <c r="C110" s="1" t="n">
        <v>45658</v>
      </c>
      <c r="D110" t="inlineStr">
        <is>
          <t>JÖNKÖPINGS LÄN</t>
        </is>
      </c>
      <c r="E110" t="inlineStr">
        <is>
          <t>VAGGERYD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34004-2020</t>
        </is>
      </c>
      <c r="B111" s="1" t="n">
        <v>44028</v>
      </c>
      <c r="C111" s="1" t="n">
        <v>45658</v>
      </c>
      <c r="D111" t="inlineStr">
        <is>
          <t>JÖNKÖPINGS LÄN</t>
        </is>
      </c>
      <c r="E111" t="inlineStr">
        <is>
          <t>VAGGERYD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35122-2020</t>
        </is>
      </c>
      <c r="B112" s="1" t="n">
        <v>44040</v>
      </c>
      <c r="C112" s="1" t="n">
        <v>45658</v>
      </c>
      <c r="D112" t="inlineStr">
        <is>
          <t>JÖNKÖPINGS LÄN</t>
        </is>
      </c>
      <c r="E112" t="inlineStr">
        <is>
          <t>VAGGERYD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35117-2020</t>
        </is>
      </c>
      <c r="B113" s="1" t="n">
        <v>44040</v>
      </c>
      <c r="C113" s="1" t="n">
        <v>45658</v>
      </c>
      <c r="D113" t="inlineStr">
        <is>
          <t>JÖNKÖPINGS LÄN</t>
        </is>
      </c>
      <c r="E113" t="inlineStr">
        <is>
          <t>VAGGERYD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37555-2020</t>
        </is>
      </c>
      <c r="B114" s="1" t="n">
        <v>44056</v>
      </c>
      <c r="C114" s="1" t="n">
        <v>45658</v>
      </c>
      <c r="D114" t="inlineStr">
        <is>
          <t>JÖNKÖPINGS LÄN</t>
        </is>
      </c>
      <c r="E114" t="inlineStr">
        <is>
          <t>VAGGERYD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38324-2020</t>
        </is>
      </c>
      <c r="B115" s="1" t="n">
        <v>44060</v>
      </c>
      <c r="C115" s="1" t="n">
        <v>45658</v>
      </c>
      <c r="D115" t="inlineStr">
        <is>
          <t>JÖNKÖPINGS LÄN</t>
        </is>
      </c>
      <c r="E115" t="inlineStr">
        <is>
          <t>VAGGERYD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43302-2020</t>
        </is>
      </c>
      <c r="B116" s="1" t="n">
        <v>44077</v>
      </c>
      <c r="C116" s="1" t="n">
        <v>45658</v>
      </c>
      <c r="D116" t="inlineStr">
        <is>
          <t>JÖNKÖPINGS LÄN</t>
        </is>
      </c>
      <c r="E116" t="inlineStr">
        <is>
          <t>VAGGERYD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43173-2020</t>
        </is>
      </c>
      <c r="B117" s="1" t="n">
        <v>44081</v>
      </c>
      <c r="C117" s="1" t="n">
        <v>45658</v>
      </c>
      <c r="D117" t="inlineStr">
        <is>
          <t>JÖNKÖPINGS LÄN</t>
        </is>
      </c>
      <c r="E117" t="inlineStr">
        <is>
          <t>VAGGERYD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43196-2020</t>
        </is>
      </c>
      <c r="B118" s="1" t="n">
        <v>44081</v>
      </c>
      <c r="C118" s="1" t="n">
        <v>45658</v>
      </c>
      <c r="D118" t="inlineStr">
        <is>
          <t>JÖNKÖPINGS LÄN</t>
        </is>
      </c>
      <c r="E118" t="inlineStr">
        <is>
          <t>VAGGERYD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45726-2020</t>
        </is>
      </c>
      <c r="B119" s="1" t="n">
        <v>44090</v>
      </c>
      <c r="C119" s="1" t="n">
        <v>45658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45908-2020</t>
        </is>
      </c>
      <c r="B120" s="1" t="n">
        <v>44091</v>
      </c>
      <c r="C120" s="1" t="n">
        <v>45658</v>
      </c>
      <c r="D120" t="inlineStr">
        <is>
          <t>JÖNKÖPINGS LÄN</t>
        </is>
      </c>
      <c r="E120" t="inlineStr">
        <is>
          <t>VAGGERYD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47223-2020</t>
        </is>
      </c>
      <c r="B121" s="1" t="n">
        <v>44092</v>
      </c>
      <c r="C121" s="1" t="n">
        <v>45658</v>
      </c>
      <c r="D121" t="inlineStr">
        <is>
          <t>JÖNKÖPINGS LÄN</t>
        </is>
      </c>
      <c r="E121" t="inlineStr">
        <is>
          <t>VAGGERYD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47219-2020</t>
        </is>
      </c>
      <c r="B122" s="1" t="n">
        <v>44092</v>
      </c>
      <c r="C122" s="1" t="n">
        <v>45658</v>
      </c>
      <c r="D122" t="inlineStr">
        <is>
          <t>JÖNKÖPINGS LÄN</t>
        </is>
      </c>
      <c r="E122" t="inlineStr">
        <is>
          <t>VAGGERYD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49395-2020</t>
        </is>
      </c>
      <c r="B123" s="1" t="n">
        <v>44102</v>
      </c>
      <c r="C123" s="1" t="n">
        <v>45658</v>
      </c>
      <c r="D123" t="inlineStr">
        <is>
          <t>JÖNKÖPINGS LÄN</t>
        </is>
      </c>
      <c r="E123" t="inlineStr">
        <is>
          <t>VAGGERYD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50836-2020</t>
        </is>
      </c>
      <c r="B124" s="1" t="n">
        <v>44105</v>
      </c>
      <c r="C124" s="1" t="n">
        <v>45658</v>
      </c>
      <c r="D124" t="inlineStr">
        <is>
          <t>JÖNKÖPINGS LÄN</t>
        </is>
      </c>
      <c r="E124" t="inlineStr">
        <is>
          <t>VAGGERYD</t>
        </is>
      </c>
      <c r="F124" t="inlineStr">
        <is>
          <t>Kyrkan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52932-2020</t>
        </is>
      </c>
      <c r="B125" s="1" t="n">
        <v>44120</v>
      </c>
      <c r="C125" s="1" t="n">
        <v>45658</v>
      </c>
      <c r="D125" t="inlineStr">
        <is>
          <t>JÖNKÖPINGS LÄN</t>
        </is>
      </c>
      <c r="E125" t="inlineStr">
        <is>
          <t>VAGGERYD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54221-2020</t>
        </is>
      </c>
      <c r="B126" s="1" t="n">
        <v>44123</v>
      </c>
      <c r="C126" s="1" t="n">
        <v>45658</v>
      </c>
      <c r="D126" t="inlineStr">
        <is>
          <t>JÖNKÖPINGS LÄN</t>
        </is>
      </c>
      <c r="E126" t="inlineStr">
        <is>
          <t>VAGGERYD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55941-2020</t>
        </is>
      </c>
      <c r="B127" s="1" t="n">
        <v>44133</v>
      </c>
      <c r="C127" s="1" t="n">
        <v>45658</v>
      </c>
      <c r="D127" t="inlineStr">
        <is>
          <t>JÖNKÖPINGS LÄN</t>
        </is>
      </c>
      <c r="E127" t="inlineStr">
        <is>
          <t>VAGGERYD</t>
        </is>
      </c>
      <c r="F127" t="inlineStr">
        <is>
          <t>Övriga statliga verk och myndigheter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58807-2020</t>
        </is>
      </c>
      <c r="B128" s="1" t="n">
        <v>44146</v>
      </c>
      <c r="C128" s="1" t="n">
        <v>45658</v>
      </c>
      <c r="D128" t="inlineStr">
        <is>
          <t>JÖNKÖPINGS LÄN</t>
        </is>
      </c>
      <c r="E128" t="inlineStr">
        <is>
          <t>VAGGERYD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60318-2020</t>
        </is>
      </c>
      <c r="B129" s="1" t="n">
        <v>44152</v>
      </c>
      <c r="C129" s="1" t="n">
        <v>45658</v>
      </c>
      <c r="D129" t="inlineStr">
        <is>
          <t>JÖNKÖPINGS LÄN</t>
        </is>
      </c>
      <c r="E129" t="inlineStr">
        <is>
          <t>VAGGERYD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61536-2020</t>
        </is>
      </c>
      <c r="B130" s="1" t="n">
        <v>44158</v>
      </c>
      <c r="C130" s="1" t="n">
        <v>45658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62011-2020</t>
        </is>
      </c>
      <c r="B131" s="1" t="n">
        <v>44159</v>
      </c>
      <c r="C131" s="1" t="n">
        <v>45658</v>
      </c>
      <c r="D131" t="inlineStr">
        <is>
          <t>JÖNKÖPINGS LÄN</t>
        </is>
      </c>
      <c r="E131" t="inlineStr">
        <is>
          <t>VAGGERYD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66939-2020</t>
        </is>
      </c>
      <c r="B132" s="1" t="n">
        <v>44174</v>
      </c>
      <c r="C132" s="1" t="n">
        <v>45658</v>
      </c>
      <c r="D132" t="inlineStr">
        <is>
          <t>JÖNKÖPINGS LÄN</t>
        </is>
      </c>
      <c r="E132" t="inlineStr">
        <is>
          <t>VAGGERYD</t>
        </is>
      </c>
      <c r="F132" t="inlineStr">
        <is>
          <t>Övriga Aktiebolag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66923-2020</t>
        </is>
      </c>
      <c r="B133" s="1" t="n">
        <v>44180</v>
      </c>
      <c r="C133" s="1" t="n">
        <v>45658</v>
      </c>
      <c r="D133" t="inlineStr">
        <is>
          <t>JÖNKÖPINGS LÄN</t>
        </is>
      </c>
      <c r="E133" t="inlineStr">
        <is>
          <t>VAGGERYD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68380-2020</t>
        </is>
      </c>
      <c r="B134" s="1" t="n">
        <v>44186</v>
      </c>
      <c r="C134" s="1" t="n">
        <v>45658</v>
      </c>
      <c r="D134" t="inlineStr">
        <is>
          <t>JÖNKÖPINGS LÄN</t>
        </is>
      </c>
      <c r="E134" t="inlineStr">
        <is>
          <t>VAGGERYD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1111-2021</t>
        </is>
      </c>
      <c r="B135" s="1" t="n">
        <v>44207</v>
      </c>
      <c r="C135" s="1" t="n">
        <v>45658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1546-2021</t>
        </is>
      </c>
      <c r="B136" s="1" t="n">
        <v>44209</v>
      </c>
      <c r="C136" s="1" t="n">
        <v>45658</v>
      </c>
      <c r="D136" t="inlineStr">
        <is>
          <t>JÖNKÖPINGS LÄN</t>
        </is>
      </c>
      <c r="E136" t="inlineStr">
        <is>
          <t>VAGGERYD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4782-2021</t>
        </is>
      </c>
      <c r="B137" s="1" t="n">
        <v>44225</v>
      </c>
      <c r="C137" s="1" t="n">
        <v>45658</v>
      </c>
      <c r="D137" t="inlineStr">
        <is>
          <t>JÖNKÖPINGS LÄN</t>
        </is>
      </c>
      <c r="E137" t="inlineStr">
        <is>
          <t>VAGGERYD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4793-2021</t>
        </is>
      </c>
      <c r="B138" s="1" t="n">
        <v>44225</v>
      </c>
      <c r="C138" s="1" t="n">
        <v>45658</v>
      </c>
      <c r="D138" t="inlineStr">
        <is>
          <t>JÖNKÖPINGS LÄN</t>
        </is>
      </c>
      <c r="E138" t="inlineStr">
        <is>
          <t>VAGGERYD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6692-2021</t>
        </is>
      </c>
      <c r="B139" s="1" t="n">
        <v>44236</v>
      </c>
      <c r="C139" s="1" t="n">
        <v>45658</v>
      </c>
      <c r="D139" t="inlineStr">
        <is>
          <t>JÖNKÖPINGS LÄN</t>
        </is>
      </c>
      <c r="E139" t="inlineStr">
        <is>
          <t>VAGGERYD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6876-2021</t>
        </is>
      </c>
      <c r="B140" s="1" t="n">
        <v>44237</v>
      </c>
      <c r="C140" s="1" t="n">
        <v>45658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7957-2021</t>
        </is>
      </c>
      <c r="B141" s="1" t="n">
        <v>44243</v>
      </c>
      <c r="C141" s="1" t="n">
        <v>45658</v>
      </c>
      <c r="D141" t="inlineStr">
        <is>
          <t>JÖNKÖPINGS LÄN</t>
        </is>
      </c>
      <c r="E141" t="inlineStr">
        <is>
          <t>VAGGERYD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9875-2021</t>
        </is>
      </c>
      <c r="B142" s="1" t="n">
        <v>44253</v>
      </c>
      <c r="C142" s="1" t="n">
        <v>45658</v>
      </c>
      <c r="D142" t="inlineStr">
        <is>
          <t>JÖNKÖPINGS LÄN</t>
        </is>
      </c>
      <c r="E142" t="inlineStr">
        <is>
          <t>VAGGERYD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11277-2021</t>
        </is>
      </c>
      <c r="B143" s="1" t="n">
        <v>44263</v>
      </c>
      <c r="C143" s="1" t="n">
        <v>45658</v>
      </c>
      <c r="D143" t="inlineStr">
        <is>
          <t>JÖNKÖPINGS LÄN</t>
        </is>
      </c>
      <c r="E143" t="inlineStr">
        <is>
          <t>VAGGERYD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13158-2021</t>
        </is>
      </c>
      <c r="B144" s="1" t="n">
        <v>44272</v>
      </c>
      <c r="C144" s="1" t="n">
        <v>45658</v>
      </c>
      <c r="D144" t="inlineStr">
        <is>
          <t>JÖNKÖPINGS LÄN</t>
        </is>
      </c>
      <c r="E144" t="inlineStr">
        <is>
          <t>VAGGERYD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14702-2021</t>
        </is>
      </c>
      <c r="B145" s="1" t="n">
        <v>44280</v>
      </c>
      <c r="C145" s="1" t="n">
        <v>45658</v>
      </c>
      <c r="D145" t="inlineStr">
        <is>
          <t>JÖNKÖPINGS LÄN</t>
        </is>
      </c>
      <c r="E145" t="inlineStr">
        <is>
          <t>VAGGERYD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15259-2021</t>
        </is>
      </c>
      <c r="B146" s="1" t="n">
        <v>44284</v>
      </c>
      <c r="C146" s="1" t="n">
        <v>45658</v>
      </c>
      <c r="D146" t="inlineStr">
        <is>
          <t>JÖNKÖPINGS LÄN</t>
        </is>
      </c>
      <c r="E146" t="inlineStr">
        <is>
          <t>VAGGERYD</t>
        </is>
      </c>
      <c r="F146" t="inlineStr">
        <is>
          <t>Övriga Aktiebolag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19046-2021</t>
        </is>
      </c>
      <c r="B147" s="1" t="n">
        <v>44308</v>
      </c>
      <c r="C147" s="1" t="n">
        <v>45658</v>
      </c>
      <c r="D147" t="inlineStr">
        <is>
          <t>JÖNKÖPINGS LÄN</t>
        </is>
      </c>
      <c r="E147" t="inlineStr">
        <is>
          <t>VAGGERYD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20689-2021</t>
        </is>
      </c>
      <c r="B148" s="1" t="n">
        <v>44313</v>
      </c>
      <c r="C148" s="1" t="n">
        <v>45658</v>
      </c>
      <c r="D148" t="inlineStr">
        <is>
          <t>JÖNKÖPINGS LÄN</t>
        </is>
      </c>
      <c r="E148" t="inlineStr">
        <is>
          <t>VAGGERYD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20686-2021</t>
        </is>
      </c>
      <c r="B149" s="1" t="n">
        <v>44313</v>
      </c>
      <c r="C149" s="1" t="n">
        <v>45658</v>
      </c>
      <c r="D149" t="inlineStr">
        <is>
          <t>JÖNKÖPINGS LÄN</t>
        </is>
      </c>
      <c r="E149" t="inlineStr">
        <is>
          <t>VAGGERYD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20693-2021</t>
        </is>
      </c>
      <c r="B150" s="1" t="n">
        <v>44313</v>
      </c>
      <c r="C150" s="1" t="n">
        <v>45658</v>
      </c>
      <c r="D150" t="inlineStr">
        <is>
          <t>JÖNKÖPINGS LÄN</t>
        </is>
      </c>
      <c r="E150" t="inlineStr">
        <is>
          <t>VAGGERYD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20687-2021</t>
        </is>
      </c>
      <c r="B151" s="1" t="n">
        <v>44313</v>
      </c>
      <c r="C151" s="1" t="n">
        <v>45658</v>
      </c>
      <c r="D151" t="inlineStr">
        <is>
          <t>JÖNKÖPINGS LÄN</t>
        </is>
      </c>
      <c r="E151" t="inlineStr">
        <is>
          <t>VAGGERYD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20694-2021</t>
        </is>
      </c>
      <c r="B152" s="1" t="n">
        <v>44313</v>
      </c>
      <c r="C152" s="1" t="n">
        <v>45658</v>
      </c>
      <c r="D152" t="inlineStr">
        <is>
          <t>JÖNKÖPINGS LÄN</t>
        </is>
      </c>
      <c r="E152" t="inlineStr">
        <is>
          <t>VAGGERYD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20063-2021</t>
        </is>
      </c>
      <c r="B153" s="1" t="n">
        <v>44313</v>
      </c>
      <c r="C153" s="1" t="n">
        <v>45658</v>
      </c>
      <c r="D153" t="inlineStr">
        <is>
          <t>JÖNKÖPINGS LÄN</t>
        </is>
      </c>
      <c r="E153" t="inlineStr">
        <is>
          <t>VAGGERYD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20680-2021</t>
        </is>
      </c>
      <c r="B154" s="1" t="n">
        <v>44313</v>
      </c>
      <c r="C154" s="1" t="n">
        <v>45658</v>
      </c>
      <c r="D154" t="inlineStr">
        <is>
          <t>JÖNKÖPINGS LÄN</t>
        </is>
      </c>
      <c r="E154" t="inlineStr">
        <is>
          <t>VAGGERYD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20691-2021</t>
        </is>
      </c>
      <c r="B155" s="1" t="n">
        <v>44313</v>
      </c>
      <c r="C155" s="1" t="n">
        <v>45658</v>
      </c>
      <c r="D155" t="inlineStr">
        <is>
          <t>JÖNKÖPINGS LÄN</t>
        </is>
      </c>
      <c r="E155" t="inlineStr">
        <is>
          <t>VAGGERYD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20156-2021</t>
        </is>
      </c>
      <c r="B156" s="1" t="n">
        <v>44314</v>
      </c>
      <c r="C156" s="1" t="n">
        <v>45658</v>
      </c>
      <c r="D156" t="inlineStr">
        <is>
          <t>JÖNKÖPINGS LÄN</t>
        </is>
      </c>
      <c r="E156" t="inlineStr">
        <is>
          <t>VAGGERYD</t>
        </is>
      </c>
      <c r="G156" t="n">
        <v>12.2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21621-2021</t>
        </is>
      </c>
      <c r="B157" s="1" t="n">
        <v>44321</v>
      </c>
      <c r="C157" s="1" t="n">
        <v>45658</v>
      </c>
      <c r="D157" t="inlineStr">
        <is>
          <t>JÖNKÖPINGS LÄN</t>
        </is>
      </c>
      <c r="E157" t="inlineStr">
        <is>
          <t>VAGGERYD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21866-2021</t>
        </is>
      </c>
      <c r="B158" s="1" t="n">
        <v>44322</v>
      </c>
      <c r="C158" s="1" t="n">
        <v>45658</v>
      </c>
      <c r="D158" t="inlineStr">
        <is>
          <t>JÖNKÖPINGS LÄN</t>
        </is>
      </c>
      <c r="E158" t="inlineStr">
        <is>
          <t>VAGGERYD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22702-2021</t>
        </is>
      </c>
      <c r="B159" s="1" t="n">
        <v>44327</v>
      </c>
      <c r="C159" s="1" t="n">
        <v>45658</v>
      </c>
      <c r="D159" t="inlineStr">
        <is>
          <t>JÖNKÖPINGS LÄN</t>
        </is>
      </c>
      <c r="E159" t="inlineStr">
        <is>
          <t>VAGGERYD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26047-2021</t>
        </is>
      </c>
      <c r="B160" s="1" t="n">
        <v>44344</v>
      </c>
      <c r="C160" s="1" t="n">
        <v>45658</v>
      </c>
      <c r="D160" t="inlineStr">
        <is>
          <t>JÖNKÖPINGS LÄN</t>
        </is>
      </c>
      <c r="E160" t="inlineStr">
        <is>
          <t>VAGGERYD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26048-2021</t>
        </is>
      </c>
      <c r="B161" s="1" t="n">
        <v>44344</v>
      </c>
      <c r="C161" s="1" t="n">
        <v>45658</v>
      </c>
      <c r="D161" t="inlineStr">
        <is>
          <t>JÖNKÖPINGS LÄN</t>
        </is>
      </c>
      <c r="E161" t="inlineStr">
        <is>
          <t>VAGGERYD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26045-2021</t>
        </is>
      </c>
      <c r="B162" s="1" t="n">
        <v>44344</v>
      </c>
      <c r="C162" s="1" t="n">
        <v>45658</v>
      </c>
      <c r="D162" t="inlineStr">
        <is>
          <t>JÖNKÖPINGS LÄN</t>
        </is>
      </c>
      <c r="E162" t="inlineStr">
        <is>
          <t>VAGGERYD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26051-2021</t>
        </is>
      </c>
      <c r="B163" s="1" t="n">
        <v>44344</v>
      </c>
      <c r="C163" s="1" t="n">
        <v>45658</v>
      </c>
      <c r="D163" t="inlineStr">
        <is>
          <t>JÖNKÖPINGS LÄN</t>
        </is>
      </c>
      <c r="E163" t="inlineStr">
        <is>
          <t>VAGGERYD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27310-2021</t>
        </is>
      </c>
      <c r="B164" s="1" t="n">
        <v>44351</v>
      </c>
      <c r="C164" s="1" t="n">
        <v>45658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27319-2021</t>
        </is>
      </c>
      <c r="B165" s="1" t="n">
        <v>44351</v>
      </c>
      <c r="C165" s="1" t="n">
        <v>45658</v>
      </c>
      <c r="D165" t="inlineStr">
        <is>
          <t>JÖNKÖPINGS LÄN</t>
        </is>
      </c>
      <c r="E165" t="inlineStr">
        <is>
          <t>VAGGERYD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27316-2021</t>
        </is>
      </c>
      <c r="B166" s="1" t="n">
        <v>44351</v>
      </c>
      <c r="C166" s="1" t="n">
        <v>45658</v>
      </c>
      <c r="D166" t="inlineStr">
        <is>
          <t>JÖNKÖPINGS LÄN</t>
        </is>
      </c>
      <c r="E166" t="inlineStr">
        <is>
          <t>VAGGERYD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27440-2021</t>
        </is>
      </c>
      <c r="B167" s="1" t="n">
        <v>44351</v>
      </c>
      <c r="C167" s="1" t="n">
        <v>45658</v>
      </c>
      <c r="D167" t="inlineStr">
        <is>
          <t>JÖNKÖPINGS LÄN</t>
        </is>
      </c>
      <c r="E167" t="inlineStr">
        <is>
          <t>VAGGERYD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27890-2021</t>
        </is>
      </c>
      <c r="B168" s="1" t="n">
        <v>44354</v>
      </c>
      <c r="C168" s="1" t="n">
        <v>45658</v>
      </c>
      <c r="D168" t="inlineStr">
        <is>
          <t>JÖNKÖPINGS LÄN</t>
        </is>
      </c>
      <c r="E168" t="inlineStr">
        <is>
          <t>VAGGERYD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28007-2021</t>
        </is>
      </c>
      <c r="B169" s="1" t="n">
        <v>44355</v>
      </c>
      <c r="C169" s="1" t="n">
        <v>45658</v>
      </c>
      <c r="D169" t="inlineStr">
        <is>
          <t>JÖNKÖPINGS LÄN</t>
        </is>
      </c>
      <c r="E169" t="inlineStr">
        <is>
          <t>VAGGERYD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28692-2021</t>
        </is>
      </c>
      <c r="B170" s="1" t="n">
        <v>44357</v>
      </c>
      <c r="C170" s="1" t="n">
        <v>45658</v>
      </c>
      <c r="D170" t="inlineStr">
        <is>
          <t>JÖNKÖPINGS LÄN</t>
        </is>
      </c>
      <c r="E170" t="inlineStr">
        <is>
          <t>VAGGERYD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29068-2021</t>
        </is>
      </c>
      <c r="B171" s="1" t="n">
        <v>44358</v>
      </c>
      <c r="C171" s="1" t="n">
        <v>45658</v>
      </c>
      <c r="D171" t="inlineStr">
        <is>
          <t>JÖNKÖPINGS LÄN</t>
        </is>
      </c>
      <c r="E171" t="inlineStr">
        <is>
          <t>VAGGERYD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29860-2021</t>
        </is>
      </c>
      <c r="B172" s="1" t="n">
        <v>44362</v>
      </c>
      <c r="C172" s="1" t="n">
        <v>45658</v>
      </c>
      <c r="D172" t="inlineStr">
        <is>
          <t>JÖNKÖPINGS LÄN</t>
        </is>
      </c>
      <c r="E172" t="inlineStr">
        <is>
          <t>VAGGERYD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29863-2021</t>
        </is>
      </c>
      <c r="B173" s="1" t="n">
        <v>44362</v>
      </c>
      <c r="C173" s="1" t="n">
        <v>45658</v>
      </c>
      <c r="D173" t="inlineStr">
        <is>
          <t>JÖNKÖPINGS LÄN</t>
        </is>
      </c>
      <c r="E173" t="inlineStr">
        <is>
          <t>VAGGERYD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30399-2021</t>
        </is>
      </c>
      <c r="B174" s="1" t="n">
        <v>44364</v>
      </c>
      <c r="C174" s="1" t="n">
        <v>45658</v>
      </c>
      <c r="D174" t="inlineStr">
        <is>
          <t>JÖNKÖPINGS LÄN</t>
        </is>
      </c>
      <c r="E174" t="inlineStr">
        <is>
          <t>VAGGERYD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31021-2021</t>
        </is>
      </c>
      <c r="B175" s="1" t="n">
        <v>44367</v>
      </c>
      <c r="C175" s="1" t="n">
        <v>45658</v>
      </c>
      <c r="D175" t="inlineStr">
        <is>
          <t>JÖNKÖPINGS LÄN</t>
        </is>
      </c>
      <c r="E175" t="inlineStr">
        <is>
          <t>VAGGERYD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31022-2021</t>
        </is>
      </c>
      <c r="B176" s="1" t="n">
        <v>44367</v>
      </c>
      <c r="C176" s="1" t="n">
        <v>45658</v>
      </c>
      <c r="D176" t="inlineStr">
        <is>
          <t>JÖNKÖPINGS LÄN</t>
        </is>
      </c>
      <c r="E176" t="inlineStr">
        <is>
          <t>VAGGERYD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31020-2021</t>
        </is>
      </c>
      <c r="B177" s="1" t="n">
        <v>44367</v>
      </c>
      <c r="C177" s="1" t="n">
        <v>45658</v>
      </c>
      <c r="D177" t="inlineStr">
        <is>
          <t>JÖNKÖPINGS LÄN</t>
        </is>
      </c>
      <c r="E177" t="inlineStr">
        <is>
          <t>VAGGERYD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33100-2021</t>
        </is>
      </c>
      <c r="B178" s="1" t="n">
        <v>44376</v>
      </c>
      <c r="C178" s="1" t="n">
        <v>45658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33101-2021</t>
        </is>
      </c>
      <c r="B179" s="1" t="n">
        <v>44376</v>
      </c>
      <c r="C179" s="1" t="n">
        <v>45658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33451-2021</t>
        </is>
      </c>
      <c r="B180" s="1" t="n">
        <v>44377</v>
      </c>
      <c r="C180" s="1" t="n">
        <v>45658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33449-2021</t>
        </is>
      </c>
      <c r="B181" s="1" t="n">
        <v>44377</v>
      </c>
      <c r="C181" s="1" t="n">
        <v>45658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34070-2021</t>
        </is>
      </c>
      <c r="B182" s="1" t="n">
        <v>44379</v>
      </c>
      <c r="C182" s="1" t="n">
        <v>45658</v>
      </c>
      <c r="D182" t="inlineStr">
        <is>
          <t>JÖNKÖPINGS LÄN</t>
        </is>
      </c>
      <c r="E182" t="inlineStr">
        <is>
          <t>VAGGERYD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34066-2021</t>
        </is>
      </c>
      <c r="B183" s="1" t="n">
        <v>44379</v>
      </c>
      <c r="C183" s="1" t="n">
        <v>45658</v>
      </c>
      <c r="D183" t="inlineStr">
        <is>
          <t>JÖNKÖPINGS LÄN</t>
        </is>
      </c>
      <c r="E183" t="inlineStr">
        <is>
          <t>VAGGERYD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34078-2021</t>
        </is>
      </c>
      <c r="B184" s="1" t="n">
        <v>44379</v>
      </c>
      <c r="C184" s="1" t="n">
        <v>45658</v>
      </c>
      <c r="D184" t="inlineStr">
        <is>
          <t>JÖNKÖPINGS LÄN</t>
        </is>
      </c>
      <c r="E184" t="inlineStr">
        <is>
          <t>VAGGERYD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34069-2021</t>
        </is>
      </c>
      <c r="B185" s="1" t="n">
        <v>44379</v>
      </c>
      <c r="C185" s="1" t="n">
        <v>45658</v>
      </c>
      <c r="D185" t="inlineStr">
        <is>
          <t>JÖNKÖPINGS LÄN</t>
        </is>
      </c>
      <c r="E185" t="inlineStr">
        <is>
          <t>VAGGERYD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34075-2021</t>
        </is>
      </c>
      <c r="B186" s="1" t="n">
        <v>44379</v>
      </c>
      <c r="C186" s="1" t="n">
        <v>45658</v>
      </c>
      <c r="D186" t="inlineStr">
        <is>
          <t>JÖNKÖPINGS LÄN</t>
        </is>
      </c>
      <c r="E186" t="inlineStr">
        <is>
          <t>VAGGERYD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34506-2021</t>
        </is>
      </c>
      <c r="B187" s="1" t="n">
        <v>44382</v>
      </c>
      <c r="C187" s="1" t="n">
        <v>45658</v>
      </c>
      <c r="D187" t="inlineStr">
        <is>
          <t>JÖNKÖPINGS LÄN</t>
        </is>
      </c>
      <c r="E187" t="inlineStr">
        <is>
          <t>VAGGERYD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34508-2021</t>
        </is>
      </c>
      <c r="B188" s="1" t="n">
        <v>44382</v>
      </c>
      <c r="C188" s="1" t="n">
        <v>45658</v>
      </c>
      <c r="D188" t="inlineStr">
        <is>
          <t>JÖNKÖPINGS LÄN</t>
        </is>
      </c>
      <c r="E188" t="inlineStr">
        <is>
          <t>VAGGERYD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35026-2021</t>
        </is>
      </c>
      <c r="B189" s="1" t="n">
        <v>44383</v>
      </c>
      <c r="C189" s="1" t="n">
        <v>45658</v>
      </c>
      <c r="D189" t="inlineStr">
        <is>
          <t>JÖNKÖPINGS LÄN</t>
        </is>
      </c>
      <c r="E189" t="inlineStr">
        <is>
          <t>VAGGERYD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37803-2021</t>
        </is>
      </c>
      <c r="B190" s="1" t="n">
        <v>44402</v>
      </c>
      <c r="C190" s="1" t="n">
        <v>45658</v>
      </c>
      <c r="D190" t="inlineStr">
        <is>
          <t>JÖNKÖPINGS LÄN</t>
        </is>
      </c>
      <c r="E190" t="inlineStr">
        <is>
          <t>VAGGERYD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37826-2021</t>
        </is>
      </c>
      <c r="B191" s="1" t="n">
        <v>44403</v>
      </c>
      <c r="C191" s="1" t="n">
        <v>45658</v>
      </c>
      <c r="D191" t="inlineStr">
        <is>
          <t>JÖNKÖPINGS LÄN</t>
        </is>
      </c>
      <c r="E191" t="inlineStr">
        <is>
          <t>VAGGERYD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38326-2021</t>
        </is>
      </c>
      <c r="B192" s="1" t="n">
        <v>44406</v>
      </c>
      <c r="C192" s="1" t="n">
        <v>45658</v>
      </c>
      <c r="D192" t="inlineStr">
        <is>
          <t>JÖNKÖPINGS LÄN</t>
        </is>
      </c>
      <c r="E192" t="inlineStr">
        <is>
          <t>VAGGERYD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39314-2021</t>
        </is>
      </c>
      <c r="B193" s="1" t="n">
        <v>44413</v>
      </c>
      <c r="C193" s="1" t="n">
        <v>45658</v>
      </c>
      <c r="D193" t="inlineStr">
        <is>
          <t>JÖNKÖPINGS LÄN</t>
        </is>
      </c>
      <c r="E193" t="inlineStr">
        <is>
          <t>VAGGERYD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40532-2021</t>
        </is>
      </c>
      <c r="B194" s="1" t="n">
        <v>44420</v>
      </c>
      <c r="C194" s="1" t="n">
        <v>45658</v>
      </c>
      <c r="D194" t="inlineStr">
        <is>
          <t>JÖNKÖPINGS LÄN</t>
        </is>
      </c>
      <c r="E194" t="inlineStr">
        <is>
          <t>VAGGERYD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43286-2021</t>
        </is>
      </c>
      <c r="B195" s="1" t="n">
        <v>44432</v>
      </c>
      <c r="C195" s="1" t="n">
        <v>45658</v>
      </c>
      <c r="D195" t="inlineStr">
        <is>
          <t>JÖNKÖPINGS LÄN</t>
        </is>
      </c>
      <c r="E195" t="inlineStr">
        <is>
          <t>VAGGERYD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45196-2021</t>
        </is>
      </c>
      <c r="B196" s="1" t="n">
        <v>44438</v>
      </c>
      <c r="C196" s="1" t="n">
        <v>45658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45203-2021</t>
        </is>
      </c>
      <c r="B197" s="1" t="n">
        <v>44438</v>
      </c>
      <c r="C197" s="1" t="n">
        <v>45658</v>
      </c>
      <c r="D197" t="inlineStr">
        <is>
          <t>JÖNKÖPINGS LÄN</t>
        </is>
      </c>
      <c r="E197" t="inlineStr">
        <is>
          <t>VAGGERYD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47873-2021</t>
        </is>
      </c>
      <c r="B198" s="1" t="n">
        <v>44448</v>
      </c>
      <c r="C198" s="1" t="n">
        <v>45658</v>
      </c>
      <c r="D198" t="inlineStr">
        <is>
          <t>JÖNKÖPINGS LÄN</t>
        </is>
      </c>
      <c r="E198" t="inlineStr">
        <is>
          <t>VAGGERYD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48777-2021</t>
        </is>
      </c>
      <c r="B199" s="1" t="n">
        <v>44452</v>
      </c>
      <c r="C199" s="1" t="n">
        <v>45658</v>
      </c>
      <c r="D199" t="inlineStr">
        <is>
          <t>JÖNKÖPINGS LÄN</t>
        </is>
      </c>
      <c r="E199" t="inlineStr">
        <is>
          <t>VAGGERYD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49128-2021</t>
        </is>
      </c>
      <c r="B200" s="1" t="n">
        <v>44453</v>
      </c>
      <c r="C200" s="1" t="n">
        <v>45658</v>
      </c>
      <c r="D200" t="inlineStr">
        <is>
          <t>JÖNKÖPINGS LÄN</t>
        </is>
      </c>
      <c r="E200" t="inlineStr">
        <is>
          <t>VAGGERYD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49153-2021</t>
        </is>
      </c>
      <c r="B201" s="1" t="n">
        <v>44454</v>
      </c>
      <c r="C201" s="1" t="n">
        <v>45658</v>
      </c>
      <c r="D201" t="inlineStr">
        <is>
          <t>JÖNKÖPINGS LÄN</t>
        </is>
      </c>
      <c r="E201" t="inlineStr">
        <is>
          <t>VAGGERYD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49131-2021</t>
        </is>
      </c>
      <c r="B202" s="1" t="n">
        <v>44453</v>
      </c>
      <c r="C202" s="1" t="n">
        <v>45658</v>
      </c>
      <c r="D202" t="inlineStr">
        <is>
          <t>JÖNKÖPINGS LÄN</t>
        </is>
      </c>
      <c r="E202" t="inlineStr">
        <is>
          <t>VAGGERYD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49133-2021</t>
        </is>
      </c>
      <c r="B203" s="1" t="n">
        <v>44453</v>
      </c>
      <c r="C203" s="1" t="n">
        <v>45658</v>
      </c>
      <c r="D203" t="inlineStr">
        <is>
          <t>JÖNKÖPINGS LÄN</t>
        </is>
      </c>
      <c r="E203" t="inlineStr">
        <is>
          <t>VAGGERYD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49152-2021</t>
        </is>
      </c>
      <c r="B204" s="1" t="n">
        <v>44454</v>
      </c>
      <c r="C204" s="1" t="n">
        <v>45658</v>
      </c>
      <c r="D204" t="inlineStr">
        <is>
          <t>JÖNKÖPINGS LÄN</t>
        </is>
      </c>
      <c r="E204" t="inlineStr">
        <is>
          <t>VAGGERYD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49130-2021</t>
        </is>
      </c>
      <c r="B205" s="1" t="n">
        <v>44453</v>
      </c>
      <c r="C205" s="1" t="n">
        <v>45658</v>
      </c>
      <c r="D205" t="inlineStr">
        <is>
          <t>JÖNKÖPINGS LÄN</t>
        </is>
      </c>
      <c r="E205" t="inlineStr">
        <is>
          <t>VAGGERYD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49263-2021</t>
        </is>
      </c>
      <c r="B206" s="1" t="n">
        <v>44454</v>
      </c>
      <c r="C206" s="1" t="n">
        <v>45658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49258-2021</t>
        </is>
      </c>
      <c r="B207" s="1" t="n">
        <v>44454</v>
      </c>
      <c r="C207" s="1" t="n">
        <v>45658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49265-2021</t>
        </is>
      </c>
      <c r="B208" s="1" t="n">
        <v>44454</v>
      </c>
      <c r="C208" s="1" t="n">
        <v>45658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49256-2021</t>
        </is>
      </c>
      <c r="B209" s="1" t="n">
        <v>44454</v>
      </c>
      <c r="C209" s="1" t="n">
        <v>45658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50131-2021</t>
        </is>
      </c>
      <c r="B210" s="1" t="n">
        <v>44456</v>
      </c>
      <c r="C210" s="1" t="n">
        <v>45658</v>
      </c>
      <c r="D210" t="inlineStr">
        <is>
          <t>JÖNKÖPINGS LÄN</t>
        </is>
      </c>
      <c r="E210" t="inlineStr">
        <is>
          <t>VAGGERYD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51830-2021</t>
        </is>
      </c>
      <c r="B211" s="1" t="n">
        <v>44462</v>
      </c>
      <c r="C211" s="1" t="n">
        <v>45658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51842-2021</t>
        </is>
      </c>
      <c r="B212" s="1" t="n">
        <v>44462</v>
      </c>
      <c r="C212" s="1" t="n">
        <v>45658</v>
      </c>
      <c r="D212" t="inlineStr">
        <is>
          <t>JÖNKÖPINGS LÄN</t>
        </is>
      </c>
      <c r="E212" t="inlineStr">
        <is>
          <t>VAGGERYD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52383-2021</t>
        </is>
      </c>
      <c r="B213" s="1" t="n">
        <v>44465</v>
      </c>
      <c r="C213" s="1" t="n">
        <v>45658</v>
      </c>
      <c r="D213" t="inlineStr">
        <is>
          <t>JÖNKÖPINGS LÄN</t>
        </is>
      </c>
      <c r="E213" t="inlineStr">
        <is>
          <t>VAGGERYD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52394-2021</t>
        </is>
      </c>
      <c r="B214" s="1" t="n">
        <v>44465</v>
      </c>
      <c r="C214" s="1" t="n">
        <v>45658</v>
      </c>
      <c r="D214" t="inlineStr">
        <is>
          <t>JÖNKÖPINGS LÄN</t>
        </is>
      </c>
      <c r="E214" t="inlineStr">
        <is>
          <t>VAGGERYD</t>
        </is>
      </c>
      <c r="F214" t="inlineStr">
        <is>
          <t>Övriga Aktiebolag</t>
        </is>
      </c>
      <c r="G214" t="n">
        <v>21.5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52891-2021</t>
        </is>
      </c>
      <c r="B215" s="1" t="n">
        <v>44467</v>
      </c>
      <c r="C215" s="1" t="n">
        <v>45658</v>
      </c>
      <c r="D215" t="inlineStr">
        <is>
          <t>JÖNKÖPINGS LÄN</t>
        </is>
      </c>
      <c r="E215" t="inlineStr">
        <is>
          <t>VAGGERYD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52907-2021</t>
        </is>
      </c>
      <c r="B216" s="1" t="n">
        <v>44467</v>
      </c>
      <c r="C216" s="1" t="n">
        <v>45658</v>
      </c>
      <c r="D216" t="inlineStr">
        <is>
          <t>JÖNKÖPINGS LÄN</t>
        </is>
      </c>
      <c r="E216" t="inlineStr">
        <is>
          <t>VAGGERYD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52899-2021</t>
        </is>
      </c>
      <c r="B217" s="1" t="n">
        <v>44467</v>
      </c>
      <c r="C217" s="1" t="n">
        <v>45658</v>
      </c>
      <c r="D217" t="inlineStr">
        <is>
          <t>JÖNKÖPINGS LÄN</t>
        </is>
      </c>
      <c r="E217" t="inlineStr">
        <is>
          <t>VAGGERYD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53072-2021</t>
        </is>
      </c>
      <c r="B218" s="1" t="n">
        <v>44467</v>
      </c>
      <c r="C218" s="1" t="n">
        <v>45658</v>
      </c>
      <c r="D218" t="inlineStr">
        <is>
          <t>JÖNKÖPINGS LÄN</t>
        </is>
      </c>
      <c r="E218" t="inlineStr">
        <is>
          <t>VAGGERYD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53499-2021</t>
        </is>
      </c>
      <c r="B219" s="1" t="n">
        <v>44468</v>
      </c>
      <c r="C219" s="1" t="n">
        <v>45658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53501-2021</t>
        </is>
      </c>
      <c r="B220" s="1" t="n">
        <v>44468</v>
      </c>
      <c r="C220" s="1" t="n">
        <v>45658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53697-2021</t>
        </is>
      </c>
      <c r="B221" s="1" t="n">
        <v>44469</v>
      </c>
      <c r="C221" s="1" t="n">
        <v>45658</v>
      </c>
      <c r="D221" t="inlineStr">
        <is>
          <t>JÖNKÖPINGS LÄN</t>
        </is>
      </c>
      <c r="E221" t="inlineStr">
        <is>
          <t>VAGGERYD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53780-2021</t>
        </is>
      </c>
      <c r="B222" s="1" t="n">
        <v>44469</v>
      </c>
      <c r="C222" s="1" t="n">
        <v>45658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55695-2021</t>
        </is>
      </c>
      <c r="B223" s="1" t="n">
        <v>44475</v>
      </c>
      <c r="C223" s="1" t="n">
        <v>45658</v>
      </c>
      <c r="D223" t="inlineStr">
        <is>
          <t>JÖNKÖPINGS LÄN</t>
        </is>
      </c>
      <c r="E223" t="inlineStr">
        <is>
          <t>VAGGERYD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56326-2021</t>
        </is>
      </c>
      <c r="B224" s="1" t="n">
        <v>44480</v>
      </c>
      <c r="C224" s="1" t="n">
        <v>45658</v>
      </c>
      <c r="D224" t="inlineStr">
        <is>
          <t>JÖNKÖPINGS LÄN</t>
        </is>
      </c>
      <c r="E224" t="inlineStr">
        <is>
          <t>VAGGERYD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56371-2021</t>
        </is>
      </c>
      <c r="B225" s="1" t="n">
        <v>44480</v>
      </c>
      <c r="C225" s="1" t="n">
        <v>45658</v>
      </c>
      <c r="D225" t="inlineStr">
        <is>
          <t>JÖNKÖPINGS LÄN</t>
        </is>
      </c>
      <c r="E225" t="inlineStr">
        <is>
          <t>VAGGERYD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56375-2021</t>
        </is>
      </c>
      <c r="B226" s="1" t="n">
        <v>44480</v>
      </c>
      <c r="C226" s="1" t="n">
        <v>45658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57319-2021</t>
        </is>
      </c>
      <c r="B227" s="1" t="n">
        <v>44483</v>
      </c>
      <c r="C227" s="1" t="n">
        <v>45658</v>
      </c>
      <c r="D227" t="inlineStr">
        <is>
          <t>JÖNKÖPINGS LÄN</t>
        </is>
      </c>
      <c r="E227" t="inlineStr">
        <is>
          <t>VAGGERYD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57493-2021</t>
        </is>
      </c>
      <c r="B228" s="1" t="n">
        <v>44483</v>
      </c>
      <c r="C228" s="1" t="n">
        <v>45658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57696-2021</t>
        </is>
      </c>
      <c r="B229" s="1" t="n">
        <v>44484</v>
      </c>
      <c r="C229" s="1" t="n">
        <v>45658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57706-2021</t>
        </is>
      </c>
      <c r="B230" s="1" t="n">
        <v>44484</v>
      </c>
      <c r="C230" s="1" t="n">
        <v>45658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57700-2021</t>
        </is>
      </c>
      <c r="B231" s="1" t="n">
        <v>44484</v>
      </c>
      <c r="C231" s="1" t="n">
        <v>45658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57704-2021</t>
        </is>
      </c>
      <c r="B232" s="1" t="n">
        <v>44484</v>
      </c>
      <c r="C232" s="1" t="n">
        <v>45658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58796-2021</t>
        </is>
      </c>
      <c r="B233" s="1" t="n">
        <v>44489</v>
      </c>
      <c r="C233" s="1" t="n">
        <v>45658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58654-2021</t>
        </is>
      </c>
      <c r="B234" s="1" t="n">
        <v>44489</v>
      </c>
      <c r="C234" s="1" t="n">
        <v>45658</v>
      </c>
      <c r="D234" t="inlineStr">
        <is>
          <t>JÖNKÖPINGS LÄN</t>
        </is>
      </c>
      <c r="E234" t="inlineStr">
        <is>
          <t>VAGGERYD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58876-2021</t>
        </is>
      </c>
      <c r="B235" s="1" t="n">
        <v>44489</v>
      </c>
      <c r="C235" s="1" t="n">
        <v>45658</v>
      </c>
      <c r="D235" t="inlineStr">
        <is>
          <t>JÖNKÖPINGS LÄN</t>
        </is>
      </c>
      <c r="E235" t="inlineStr">
        <is>
          <t>VAGGERYD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59011-2021</t>
        </is>
      </c>
      <c r="B236" s="1" t="n">
        <v>44490</v>
      </c>
      <c r="C236" s="1" t="n">
        <v>45658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59028-2021</t>
        </is>
      </c>
      <c r="B237" s="1" t="n">
        <v>44490</v>
      </c>
      <c r="C237" s="1" t="n">
        <v>45658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59035-2021</t>
        </is>
      </c>
      <c r="B238" s="1" t="n">
        <v>44490</v>
      </c>
      <c r="C238" s="1" t="n">
        <v>45658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59018-2021</t>
        </is>
      </c>
      <c r="B239" s="1" t="n">
        <v>44490</v>
      </c>
      <c r="C239" s="1" t="n">
        <v>45658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59026-2021</t>
        </is>
      </c>
      <c r="B240" s="1" t="n">
        <v>44490</v>
      </c>
      <c r="C240" s="1" t="n">
        <v>45658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59033-2021</t>
        </is>
      </c>
      <c r="B241" s="1" t="n">
        <v>44490</v>
      </c>
      <c r="C241" s="1" t="n">
        <v>45658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59022-2021</t>
        </is>
      </c>
      <c r="B242" s="1" t="n">
        <v>44490</v>
      </c>
      <c r="C242" s="1" t="n">
        <v>45658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59040-2021</t>
        </is>
      </c>
      <c r="B243" s="1" t="n">
        <v>44490</v>
      </c>
      <c r="C243" s="1" t="n">
        <v>45658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59120-2021</t>
        </is>
      </c>
      <c r="B244" s="1" t="n">
        <v>44490</v>
      </c>
      <c r="C244" s="1" t="n">
        <v>45658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59140-2021</t>
        </is>
      </c>
      <c r="B245" s="1" t="n">
        <v>44490</v>
      </c>
      <c r="C245" s="1" t="n">
        <v>45658</v>
      </c>
      <c r="D245" t="inlineStr">
        <is>
          <t>JÖNKÖPINGS LÄN</t>
        </is>
      </c>
      <c r="E245" t="inlineStr">
        <is>
          <t>VAGGERYD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59015-2021</t>
        </is>
      </c>
      <c r="B246" s="1" t="n">
        <v>44490</v>
      </c>
      <c r="C246" s="1" t="n">
        <v>45658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60366-2021</t>
        </is>
      </c>
      <c r="B247" s="1" t="n">
        <v>44496</v>
      </c>
      <c r="C247" s="1" t="n">
        <v>45658</v>
      </c>
      <c r="D247" t="inlineStr">
        <is>
          <t>JÖNKÖPINGS LÄN</t>
        </is>
      </c>
      <c r="E247" t="inlineStr">
        <is>
          <t>VAGGERYD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60724-2021</t>
        </is>
      </c>
      <c r="B248" s="1" t="n">
        <v>44496</v>
      </c>
      <c r="C248" s="1" t="n">
        <v>45658</v>
      </c>
      <c r="D248" t="inlineStr">
        <is>
          <t>JÖNKÖPINGS LÄN</t>
        </is>
      </c>
      <c r="E248" t="inlineStr">
        <is>
          <t>VAGGERYD</t>
        </is>
      </c>
      <c r="F248" t="inlineStr">
        <is>
          <t>Sveaskog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64065-2021</t>
        </is>
      </c>
      <c r="B249" s="1" t="n">
        <v>44510</v>
      </c>
      <c r="C249" s="1" t="n">
        <v>45658</v>
      </c>
      <c r="D249" t="inlineStr">
        <is>
          <t>JÖNKÖPINGS LÄN</t>
        </is>
      </c>
      <c r="E249" t="inlineStr">
        <is>
          <t>VAGGERYD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64069-2021</t>
        </is>
      </c>
      <c r="B250" s="1" t="n">
        <v>44510</v>
      </c>
      <c r="C250" s="1" t="n">
        <v>45658</v>
      </c>
      <c r="D250" t="inlineStr">
        <is>
          <t>JÖNKÖPINGS LÄN</t>
        </is>
      </c>
      <c r="E250" t="inlineStr">
        <is>
          <t>VAGGERYD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67224-2021</t>
        </is>
      </c>
      <c r="B251" s="1" t="n">
        <v>44523</v>
      </c>
      <c r="C251" s="1" t="n">
        <v>45658</v>
      </c>
      <c r="D251" t="inlineStr">
        <is>
          <t>JÖNKÖPINGS LÄN</t>
        </is>
      </c>
      <c r="E251" t="inlineStr">
        <is>
          <t>VAGGERYD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67908-2021</t>
        </is>
      </c>
      <c r="B252" s="1" t="n">
        <v>44525</v>
      </c>
      <c r="C252" s="1" t="n">
        <v>45658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67947-2021</t>
        </is>
      </c>
      <c r="B253" s="1" t="n">
        <v>44525</v>
      </c>
      <c r="C253" s="1" t="n">
        <v>45658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16.6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67942-2021</t>
        </is>
      </c>
      <c r="B254" s="1" t="n">
        <v>44525</v>
      </c>
      <c r="C254" s="1" t="n">
        <v>45658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70245-2021</t>
        </is>
      </c>
      <c r="B255" s="1" t="n">
        <v>44536</v>
      </c>
      <c r="C255" s="1" t="n">
        <v>45658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70240-2021</t>
        </is>
      </c>
      <c r="B256" s="1" t="n">
        <v>44536</v>
      </c>
      <c r="C256" s="1" t="n">
        <v>45658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70250-2021</t>
        </is>
      </c>
      <c r="B257" s="1" t="n">
        <v>44536</v>
      </c>
      <c r="C257" s="1" t="n">
        <v>45658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70446-2021</t>
        </is>
      </c>
      <c r="B258" s="1" t="n">
        <v>44536</v>
      </c>
      <c r="C258" s="1" t="n">
        <v>45658</v>
      </c>
      <c r="D258" t="inlineStr">
        <is>
          <t>JÖNKÖPINGS LÄN</t>
        </is>
      </c>
      <c r="E258" t="inlineStr">
        <is>
          <t>VAGGERYD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70902-2021</t>
        </is>
      </c>
      <c r="B259" s="1" t="n">
        <v>44538</v>
      </c>
      <c r="C259" s="1" t="n">
        <v>45658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70951-2021</t>
        </is>
      </c>
      <c r="B260" s="1" t="n">
        <v>44538</v>
      </c>
      <c r="C260" s="1" t="n">
        <v>45658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71182-2021</t>
        </is>
      </c>
      <c r="B261" s="1" t="n">
        <v>44539</v>
      </c>
      <c r="C261" s="1" t="n">
        <v>45658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71173-2021</t>
        </is>
      </c>
      <c r="B262" s="1" t="n">
        <v>44539</v>
      </c>
      <c r="C262" s="1" t="n">
        <v>45658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71512-2021</t>
        </is>
      </c>
      <c r="B263" s="1" t="n">
        <v>44540</v>
      </c>
      <c r="C263" s="1" t="n">
        <v>45658</v>
      </c>
      <c r="D263" t="inlineStr">
        <is>
          <t>JÖNKÖPINGS LÄN</t>
        </is>
      </c>
      <c r="E263" t="inlineStr">
        <is>
          <t>VAGGERYD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71537-2021</t>
        </is>
      </c>
      <c r="B264" s="1" t="n">
        <v>44540</v>
      </c>
      <c r="C264" s="1" t="n">
        <v>45658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71513-2021</t>
        </is>
      </c>
      <c r="B265" s="1" t="n">
        <v>44540</v>
      </c>
      <c r="C265" s="1" t="n">
        <v>45658</v>
      </c>
      <c r="D265" t="inlineStr">
        <is>
          <t>JÖNKÖPINGS LÄN</t>
        </is>
      </c>
      <c r="E265" t="inlineStr">
        <is>
          <t>VAGGERYD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73094-2021</t>
        </is>
      </c>
      <c r="B266" s="1" t="n">
        <v>44550</v>
      </c>
      <c r="C266" s="1" t="n">
        <v>45658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73108-2021</t>
        </is>
      </c>
      <c r="B267" s="1" t="n">
        <v>44550</v>
      </c>
      <c r="C267" s="1" t="n">
        <v>45658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73123-2021</t>
        </is>
      </c>
      <c r="B268" s="1" t="n">
        <v>44550</v>
      </c>
      <c r="C268" s="1" t="n">
        <v>45658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73130-2021</t>
        </is>
      </c>
      <c r="B269" s="1" t="n">
        <v>44550</v>
      </c>
      <c r="C269" s="1" t="n">
        <v>45658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73095-2021</t>
        </is>
      </c>
      <c r="B270" s="1" t="n">
        <v>44550</v>
      </c>
      <c r="C270" s="1" t="n">
        <v>45658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73132-2021</t>
        </is>
      </c>
      <c r="B271" s="1" t="n">
        <v>44550</v>
      </c>
      <c r="C271" s="1" t="n">
        <v>45658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73125-2021</t>
        </is>
      </c>
      <c r="B272" s="1" t="n">
        <v>44550</v>
      </c>
      <c r="C272" s="1" t="n">
        <v>45658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18.7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73136-2021</t>
        </is>
      </c>
      <c r="B273" s="1" t="n">
        <v>44550</v>
      </c>
      <c r="C273" s="1" t="n">
        <v>45658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73189-2021</t>
        </is>
      </c>
      <c r="B274" s="1" t="n">
        <v>44550</v>
      </c>
      <c r="C274" s="1" t="n">
        <v>45658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73527-2021</t>
        </is>
      </c>
      <c r="B275" s="1" t="n">
        <v>44550</v>
      </c>
      <c r="C275" s="1" t="n">
        <v>45658</v>
      </c>
      <c r="D275" t="inlineStr">
        <is>
          <t>JÖNKÖPINGS LÄN</t>
        </is>
      </c>
      <c r="E275" t="inlineStr">
        <is>
          <t>VAGGERYD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73309-2021</t>
        </is>
      </c>
      <c r="B276" s="1" t="n">
        <v>44551</v>
      </c>
      <c r="C276" s="1" t="n">
        <v>45658</v>
      </c>
      <c r="D276" t="inlineStr">
        <is>
          <t>JÖNKÖPINGS LÄN</t>
        </is>
      </c>
      <c r="E276" t="inlineStr">
        <is>
          <t>VAGGERYD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2322-2022</t>
        </is>
      </c>
      <c r="B277" s="1" t="n">
        <v>44578</v>
      </c>
      <c r="C277" s="1" t="n">
        <v>45658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4302-2022</t>
        </is>
      </c>
      <c r="B278" s="1" t="n">
        <v>44588</v>
      </c>
      <c r="C278" s="1" t="n">
        <v>45658</v>
      </c>
      <c r="D278" t="inlineStr">
        <is>
          <t>JÖNKÖPINGS LÄN</t>
        </is>
      </c>
      <c r="E278" t="inlineStr">
        <is>
          <t>VAGGERYD</t>
        </is>
      </c>
      <c r="G278" t="n">
        <v>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4308-2022</t>
        </is>
      </c>
      <c r="B279" s="1" t="n">
        <v>44588</v>
      </c>
      <c r="C279" s="1" t="n">
        <v>45658</v>
      </c>
      <c r="D279" t="inlineStr">
        <is>
          <t>JÖNKÖPINGS LÄN</t>
        </is>
      </c>
      <c r="E279" t="inlineStr">
        <is>
          <t>VAGGERYD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5986-2022</t>
        </is>
      </c>
      <c r="B280" s="1" t="n">
        <v>44599</v>
      </c>
      <c r="C280" s="1" t="n">
        <v>45658</v>
      </c>
      <c r="D280" t="inlineStr">
        <is>
          <t>JÖNKÖPINGS LÄN</t>
        </is>
      </c>
      <c r="E280" t="inlineStr">
        <is>
          <t>VAGGERYD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8820-2022</t>
        </is>
      </c>
      <c r="B281" s="1" t="n">
        <v>44614</v>
      </c>
      <c r="C281" s="1" t="n">
        <v>45658</v>
      </c>
      <c r="D281" t="inlineStr">
        <is>
          <t>JÖNKÖPINGS LÄN</t>
        </is>
      </c>
      <c r="E281" t="inlineStr">
        <is>
          <t>VAGGERYD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9213-2022</t>
        </is>
      </c>
      <c r="B282" s="1" t="n">
        <v>44616</v>
      </c>
      <c r="C282" s="1" t="n">
        <v>45658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9223-2022</t>
        </is>
      </c>
      <c r="B283" s="1" t="n">
        <v>44616</v>
      </c>
      <c r="C283" s="1" t="n">
        <v>45658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9224-2022</t>
        </is>
      </c>
      <c r="B284" s="1" t="n">
        <v>44616</v>
      </c>
      <c r="C284" s="1" t="n">
        <v>45658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45658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45658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45658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45658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45658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45658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45658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45658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45658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45658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45658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45658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45658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45658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45658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45658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45658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45658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45658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45658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45658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45658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45658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45658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45658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45658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45658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45658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45658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45658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45658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45658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45658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45658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45658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45658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45658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45658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45658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45658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45658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45658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45658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45658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45658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45658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45658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45658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45658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45658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45658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45658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45658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45658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45658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45658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45658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45658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45658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45658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45658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45658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45658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45658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45658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45658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45658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45658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45658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45658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45658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45658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45658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45658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45658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45658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45658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45658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45658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45658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45658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45658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45658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45658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45658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45658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45658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45658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45658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45658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45658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45658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45658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45658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45658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45658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45658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45658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45658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45658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45658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45658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45658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45658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45658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45658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45658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45658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45658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45658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45658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45658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45658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45658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45658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45658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45658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45658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45658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45658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45658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45658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45658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45658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45658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45658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45658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45658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45658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45658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45658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45658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45658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45658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45658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45658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45658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45658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45658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45658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45658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45658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45658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45658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45658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45658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45658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45658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45658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45658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45658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45658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45658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45658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45658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45658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45658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45658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45658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45658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45658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45658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45658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45658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45658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45658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45658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45658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45658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45658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45658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45658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45658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45658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45658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45658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45658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45658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45658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45658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45658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45658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45658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45658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45658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45658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45658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45658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45658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45658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45658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45658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45658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45658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45658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45658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45658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45658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45658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45658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45658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45658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45658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45658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45658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45658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45658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45658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45658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45658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45658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45658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45658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45658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45658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45658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45658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45658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45658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45658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45658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45658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45658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45658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45658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45658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45658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45658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45658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45658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45658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45658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45658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45658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45658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45658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45658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45658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45658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45658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45658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45658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45658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45658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45658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45658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45658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45658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45658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45658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45658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45658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45658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45658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45658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45658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45658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45658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45658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45658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45658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45658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45658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45658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45658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45658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45658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45658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45658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45658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45658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45658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45658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45658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45658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45658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45658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45658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45658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45658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45658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45658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45658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45658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45658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45658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45658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45658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45658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45658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45658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45658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45658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45658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45658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45658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45658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45658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45658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45658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45658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45658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45658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45658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45658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45658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45658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45658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45658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45658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45658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45658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45658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45658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45658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45658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45658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45658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45658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45658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45658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45658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45658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45658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45658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45658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45658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45658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45658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45658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45658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45658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45658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45658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45658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45658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45658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45658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45658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45658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45658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45658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45658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45658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45658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45658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45658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45658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45658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45658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45658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45658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45658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45658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45658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45658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45658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45658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45658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45658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45658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45658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45658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45658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45658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45658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45658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45658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45658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45658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45658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45658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45658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45658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45658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45658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45658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45658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45658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45658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45658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45658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45658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45658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45658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45658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45658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45658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45658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45658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45658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45658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45658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45658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45658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45658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45658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45658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45658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45658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45658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45658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45658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45658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45658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45658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45658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45658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45658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45658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45658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45658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45658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45658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45658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45658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45658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45658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45658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45658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45658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45658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45658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45658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45658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45658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45658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45658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45658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45658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45658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45658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45658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45658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45658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45658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45658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45658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45658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45658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45658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45658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45658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45658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45658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45658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45658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45658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45658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45658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45658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45658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45658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45658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45658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45658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45658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45658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45658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45658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45658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45658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45658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45658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45658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45658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45658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45658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45658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45658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45658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45658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45658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45658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45658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45658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45658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45658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45658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45658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45658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45658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45658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45658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45658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45658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45658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45658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45658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45658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45658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45658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45658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45658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45658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45658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45658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45658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45658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45658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45658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45658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45658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45658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45658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45658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45658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45658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45658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45658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45658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45658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45658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45658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45658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45658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45658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45658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45658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45658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45658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45658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45658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45658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45658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45658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45658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45658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45658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45658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45658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45658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45658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45658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45658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45658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45658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45658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45658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45658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45658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45658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45658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45658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45658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45658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45658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45658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45658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45658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45658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45658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45658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45658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45658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45658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45658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45658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45658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45658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45658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45658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45658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45658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45658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45658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45658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45658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45658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45658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57712-2024</t>
        </is>
      </c>
      <c r="B855" s="1" t="n">
        <v>45630</v>
      </c>
      <c r="C855" s="1" t="n">
        <v>45658</v>
      </c>
      <c r="D855" t="inlineStr">
        <is>
          <t>JÖNKÖPINGS LÄN</t>
        </is>
      </c>
      <c r="E855" t="inlineStr">
        <is>
          <t>VAGGERYD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57703-2024</t>
        </is>
      </c>
      <c r="B856" s="1" t="n">
        <v>45630</v>
      </c>
      <c r="C856" s="1" t="n">
        <v>45658</v>
      </c>
      <c r="D856" t="inlineStr">
        <is>
          <t>JÖNKÖPINGS LÄN</t>
        </is>
      </c>
      <c r="E856" t="inlineStr">
        <is>
          <t>VAGGERYD</t>
        </is>
      </c>
      <c r="G856" t="n">
        <v>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57707-2024</t>
        </is>
      </c>
      <c r="B857" s="1" t="n">
        <v>45630</v>
      </c>
      <c r="C857" s="1" t="n">
        <v>45658</v>
      </c>
      <c r="D857" t="inlineStr">
        <is>
          <t>JÖNKÖPINGS LÄN</t>
        </is>
      </c>
      <c r="E857" t="inlineStr">
        <is>
          <t>VAGGERYD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57715-2024</t>
        </is>
      </c>
      <c r="B858" s="1" t="n">
        <v>45630</v>
      </c>
      <c r="C858" s="1" t="n">
        <v>45658</v>
      </c>
      <c r="D858" t="inlineStr">
        <is>
          <t>JÖNKÖPINGS LÄN</t>
        </is>
      </c>
      <c r="E858" t="inlineStr">
        <is>
          <t>VAGGERYD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58140-2024</t>
        </is>
      </c>
      <c r="B859" s="1" t="n">
        <v>45632</v>
      </c>
      <c r="C859" s="1" t="n">
        <v>45658</v>
      </c>
      <c r="D859" t="inlineStr">
        <is>
          <t>JÖNKÖPINGS LÄN</t>
        </is>
      </c>
      <c r="E859" t="inlineStr">
        <is>
          <t>VAGGERYD</t>
        </is>
      </c>
      <c r="F859" t="inlineStr">
        <is>
          <t>Sveaskog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58303-2024</t>
        </is>
      </c>
      <c r="B860" s="1" t="n">
        <v>45632</v>
      </c>
      <c r="C860" s="1" t="n">
        <v>45658</v>
      </c>
      <c r="D860" t="inlineStr">
        <is>
          <t>JÖNKÖPINGS LÄN</t>
        </is>
      </c>
      <c r="E860" t="inlineStr">
        <is>
          <t>VAGGERYD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58593-2024</t>
        </is>
      </c>
      <c r="B861" s="1" t="n">
        <v>45635</v>
      </c>
      <c r="C861" s="1" t="n">
        <v>45658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58610-2024</t>
        </is>
      </c>
      <c r="B862" s="1" t="n">
        <v>45635</v>
      </c>
      <c r="C862" s="1" t="n">
        <v>45658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58607-2024</t>
        </is>
      </c>
      <c r="B863" s="1" t="n">
        <v>45635</v>
      </c>
      <c r="C863" s="1" t="n">
        <v>45658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58600-2024</t>
        </is>
      </c>
      <c r="B864" s="1" t="n">
        <v>45635</v>
      </c>
      <c r="C864" s="1" t="n">
        <v>45658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58605-2024</t>
        </is>
      </c>
      <c r="B865" s="1" t="n">
        <v>45635</v>
      </c>
      <c r="C865" s="1" t="n">
        <v>45658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9.300000000000001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58622-2024</t>
        </is>
      </c>
      <c r="B866" s="1" t="n">
        <v>45635</v>
      </c>
      <c r="C866" s="1" t="n">
        <v>45658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58627-2024</t>
        </is>
      </c>
      <c r="B867" s="1" t="n">
        <v>45635</v>
      </c>
      <c r="C867" s="1" t="n">
        <v>45658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58591-2024</t>
        </is>
      </c>
      <c r="B868" s="1" t="n">
        <v>45635</v>
      </c>
      <c r="C868" s="1" t="n">
        <v>45658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58603-2024</t>
        </is>
      </c>
      <c r="B869" s="1" t="n">
        <v>45635</v>
      </c>
      <c r="C869" s="1" t="n">
        <v>45658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58612-2024</t>
        </is>
      </c>
      <c r="B870" s="1" t="n">
        <v>45635</v>
      </c>
      <c r="C870" s="1" t="n">
        <v>45658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58617-2024</t>
        </is>
      </c>
      <c r="B871" s="1" t="n">
        <v>45635</v>
      </c>
      <c r="C871" s="1" t="n">
        <v>45658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58925-2024</t>
        </is>
      </c>
      <c r="B872" s="1" t="n">
        <v>45636</v>
      </c>
      <c r="C872" s="1" t="n">
        <v>45658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58915-2024</t>
        </is>
      </c>
      <c r="B873" s="1" t="n">
        <v>45636</v>
      </c>
      <c r="C873" s="1" t="n">
        <v>45658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58906-2024</t>
        </is>
      </c>
      <c r="B874" s="1" t="n">
        <v>45636</v>
      </c>
      <c r="C874" s="1" t="n">
        <v>45658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58924-2024</t>
        </is>
      </c>
      <c r="B875" s="1" t="n">
        <v>45636</v>
      </c>
      <c r="C875" s="1" t="n">
        <v>45658</v>
      </c>
      <c r="D875" t="inlineStr">
        <is>
          <t>JÖNKÖPINGS LÄN</t>
        </is>
      </c>
      <c r="E875" t="inlineStr">
        <is>
          <t>VAGGERYD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58923-2024</t>
        </is>
      </c>
      <c r="B876" s="1" t="n">
        <v>45636</v>
      </c>
      <c r="C876" s="1" t="n">
        <v>45658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9.5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59230-2024</t>
        </is>
      </c>
      <c r="B877" s="1" t="n">
        <v>45636</v>
      </c>
      <c r="C877" s="1" t="n">
        <v>45658</v>
      </c>
      <c r="D877" t="inlineStr">
        <is>
          <t>JÖNKÖPINGS LÄN</t>
        </is>
      </c>
      <c r="E877" t="inlineStr">
        <is>
          <t>VAGGERYD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59798-2024</t>
        </is>
      </c>
      <c r="B878" s="1" t="n">
        <v>45639</v>
      </c>
      <c r="C878" s="1" t="n">
        <v>45658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59811-2024</t>
        </is>
      </c>
      <c r="B879" s="1" t="n">
        <v>45639</v>
      </c>
      <c r="C879" s="1" t="n">
        <v>45658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45658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45658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45658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61722-2024</t>
        </is>
      </c>
      <c r="B883" s="1" t="n">
        <v>45649</v>
      </c>
      <c r="C883" s="1" t="n">
        <v>45658</v>
      </c>
      <c r="D883" t="inlineStr">
        <is>
          <t>JÖNKÖPINGS LÄN</t>
        </is>
      </c>
      <c r="E883" t="inlineStr">
        <is>
          <t>VAGGERYD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61723-2024</t>
        </is>
      </c>
      <c r="B884" s="1" t="n">
        <v>45649</v>
      </c>
      <c r="C884" s="1" t="n">
        <v>45658</v>
      </c>
      <c r="D884" t="inlineStr">
        <is>
          <t>JÖNKÖPINGS LÄN</t>
        </is>
      </c>
      <c r="E884" t="inlineStr">
        <is>
          <t>VAGGERYD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45658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61908-2024</t>
        </is>
      </c>
      <c r="B886" s="1" t="n">
        <v>45653</v>
      </c>
      <c r="C886" s="1" t="n">
        <v>45658</v>
      </c>
      <c r="D886" t="inlineStr">
        <is>
          <t>JÖNKÖPINGS LÄN</t>
        </is>
      </c>
      <c r="E886" t="inlineStr">
        <is>
          <t>VAGGERYD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61903-2024</t>
        </is>
      </c>
      <c r="B887" s="1" t="n">
        <v>45653</v>
      </c>
      <c r="C887" s="1" t="n">
        <v>45658</v>
      </c>
      <c r="D887" t="inlineStr">
        <is>
          <t>JÖNKÖPINGS LÄN</t>
        </is>
      </c>
      <c r="E887" t="inlineStr">
        <is>
          <t>VAGGERYD</t>
        </is>
      </c>
      <c r="G887" t="n">
        <v>6.4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61907-2024</t>
        </is>
      </c>
      <c r="B888" s="1" t="n">
        <v>45653</v>
      </c>
      <c r="C888" s="1" t="n">
        <v>45658</v>
      </c>
      <c r="D888" t="inlineStr">
        <is>
          <t>JÖNKÖPINGS LÄN</t>
        </is>
      </c>
      <c r="E888" t="inlineStr">
        <is>
          <t>VAGGERYD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61905-2024</t>
        </is>
      </c>
      <c r="B889" s="1" t="n">
        <v>45653</v>
      </c>
      <c r="C889" s="1" t="n">
        <v>45658</v>
      </c>
      <c r="D889" t="inlineStr">
        <is>
          <t>JÖNKÖPINGS LÄN</t>
        </is>
      </c>
      <c r="E889" t="inlineStr">
        <is>
          <t>VAGGERYD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61909-2024</t>
        </is>
      </c>
      <c r="B890" s="1" t="n">
        <v>45653</v>
      </c>
      <c r="C890" s="1" t="n">
        <v>45658</v>
      </c>
      <c r="D890" t="inlineStr">
        <is>
          <t>JÖNKÖPINGS LÄN</t>
        </is>
      </c>
      <c r="E890" t="inlineStr">
        <is>
          <t>VAGGERYD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61958-2024</t>
        </is>
      </c>
      <c r="B891" s="1" t="n">
        <v>45653</v>
      </c>
      <c r="C891" s="1" t="n">
        <v>45658</v>
      </c>
      <c r="D891" t="inlineStr">
        <is>
          <t>JÖNKÖPINGS LÄN</t>
        </is>
      </c>
      <c r="E891" t="inlineStr">
        <is>
          <t>VAGGERYD</t>
        </is>
      </c>
      <c r="F891" t="inlineStr">
        <is>
          <t>Sveaskog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61961-2024</t>
        </is>
      </c>
      <c r="B892" s="1" t="n">
        <v>45653</v>
      </c>
      <c r="C892" s="1" t="n">
        <v>45658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2025-01-01T19:40:22Z</dcterms:created>
  <dcterms:modified xmlns:dcterms="http://purl.org/dc/terms/" xmlns:xsi="http://www.w3.org/2001/XMLSchema-instance" xsi:type="dcterms:W3CDTF">2025-01-01T19:40:22Z</dcterms:modified>
</cp:coreProperties>
</file>