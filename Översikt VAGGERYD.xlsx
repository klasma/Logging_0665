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45505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45505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45505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45505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45505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45505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45505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45505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45505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45505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45505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45505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45505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45505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45505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45505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23211-2023</t>
        </is>
      </c>
      <c r="B18" s="1" t="n">
        <v>45071</v>
      </c>
      <c r="C18" s="1" t="n">
        <v>45505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HYPERLINK("https://klasma.github.io/Logging_0665/artfynd/A 23211-2023 artfynd.xlsx", "A 23211-2023")</f>
        <v/>
      </c>
      <c r="T18">
        <f>HYPERLINK("https://klasma.github.io/Logging_0665/kartor/A 23211-2023 karta.png", "A 23211-2023")</f>
        <v/>
      </c>
      <c r="V18">
        <f>HYPERLINK("https://klasma.github.io/Logging_0665/klagomål/A 23211-2023 FSC-klagomål.docx", "A 23211-2023")</f>
        <v/>
      </c>
      <c r="W18">
        <f>HYPERLINK("https://klasma.github.io/Logging_0665/klagomålsmail/A 23211-2023 FSC-klagomål mail.docx", "A 23211-2023")</f>
        <v/>
      </c>
      <c r="X18">
        <f>HYPERLINK("https://klasma.github.io/Logging_0665/tillsyn/A 23211-2023 tillsynsbegäran.docx", "A 23211-2023")</f>
        <v/>
      </c>
      <c r="Y18">
        <f>HYPERLINK("https://klasma.github.io/Logging_0665/tillsynsmail/A 23211-2023 tillsynsbegäran mail.docx", "A 23211-2023")</f>
        <v/>
      </c>
    </row>
    <row r="19" ht="15" customHeight="1">
      <c r="A19" t="inlineStr">
        <is>
          <t>A 24975-2023</t>
        </is>
      </c>
      <c r="B19" s="1" t="n">
        <v>45085</v>
      </c>
      <c r="C19" s="1" t="n">
        <v>45505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HYPERLINK("https://klasma.github.io/Logging_0665/artfynd/A 24975-2023 artfynd.xlsx", "A 24975-2023")</f>
        <v/>
      </c>
      <c r="T19">
        <f>HYPERLINK("https://klasma.github.io/Logging_0665/kartor/A 24975-2023 karta.png", "A 24975-2023")</f>
        <v/>
      </c>
      <c r="V19">
        <f>HYPERLINK("https://klasma.github.io/Logging_0665/klagomål/A 24975-2023 FSC-klagomål.docx", "A 24975-2023")</f>
        <v/>
      </c>
      <c r="W19">
        <f>HYPERLINK("https://klasma.github.io/Logging_0665/klagomålsmail/A 24975-2023 FSC-klagomål mail.docx", "A 24975-2023")</f>
        <v/>
      </c>
      <c r="X19">
        <f>HYPERLINK("https://klasma.github.io/Logging_0665/tillsyn/A 24975-2023 tillsynsbegäran.docx", "A 24975-2023")</f>
        <v/>
      </c>
      <c r="Y19">
        <f>HYPERLINK("https://klasma.github.io/Logging_0665/tillsynsmail/A 24975-2023 tillsynsbegäran mail.docx", "A 24975-2023")</f>
        <v/>
      </c>
    </row>
    <row r="20" ht="15" customHeight="1">
      <c r="A20" t="inlineStr">
        <is>
          <t>A 24970-2023</t>
        </is>
      </c>
      <c r="B20" s="1" t="n">
        <v>45085</v>
      </c>
      <c r="C20" s="1" t="n">
        <v>45505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HYPERLINK("https://klasma.github.io/Logging_0665/artfynd/A 24970-2023 artfynd.xlsx", "A 24970-2023")</f>
        <v/>
      </c>
      <c r="T20">
        <f>HYPERLINK("https://klasma.github.io/Logging_0665/kartor/A 24970-2023 karta.png", "A 24970-2023")</f>
        <v/>
      </c>
      <c r="V20">
        <f>HYPERLINK("https://klasma.github.io/Logging_0665/klagomål/A 24970-2023 FSC-klagomål.docx", "A 24970-2023")</f>
        <v/>
      </c>
      <c r="W20">
        <f>HYPERLINK("https://klasma.github.io/Logging_0665/klagomålsmail/A 24970-2023 FSC-klagomål mail.docx", "A 24970-2023")</f>
        <v/>
      </c>
      <c r="X20">
        <f>HYPERLINK("https://klasma.github.io/Logging_0665/tillsyn/A 24970-2023 tillsynsbegäran.docx", "A 24970-2023")</f>
        <v/>
      </c>
      <c r="Y20">
        <f>HYPERLINK("https://klasma.github.io/Logging_0665/tillsynsmail/A 24970-2023 tillsynsbegäran mail.docx", "A 24970-2023")</f>
        <v/>
      </c>
    </row>
    <row r="21" ht="15" customHeight="1">
      <c r="A21" t="inlineStr">
        <is>
          <t>A 43652-2023</t>
        </is>
      </c>
      <c r="B21" s="1" t="n">
        <v>45187</v>
      </c>
      <c r="C21" s="1" t="n">
        <v>45505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HYPERLINK("https://klasma.github.io/Logging_0665/artfynd/A 43652-2023 artfynd.xlsx", "A 43652-2023")</f>
        <v/>
      </c>
      <c r="T21">
        <f>HYPERLINK("https://klasma.github.io/Logging_0665/kartor/A 43652-2023 karta.png", "A 43652-2023")</f>
        <v/>
      </c>
      <c r="V21">
        <f>HYPERLINK("https://klasma.github.io/Logging_0665/klagomål/A 43652-2023 FSC-klagomål.docx", "A 43652-2023")</f>
        <v/>
      </c>
      <c r="W21">
        <f>HYPERLINK("https://klasma.github.io/Logging_0665/klagomålsmail/A 43652-2023 FSC-klagomål mail.docx", "A 43652-2023")</f>
        <v/>
      </c>
      <c r="X21">
        <f>HYPERLINK("https://klasma.github.io/Logging_0665/tillsyn/A 43652-2023 tillsynsbegäran.docx", "A 43652-2023")</f>
        <v/>
      </c>
      <c r="Y21">
        <f>HYPERLINK("https://klasma.github.io/Logging_0665/tillsynsmail/A 43652-2023 tillsynsbegäran mail.docx", "A 43652-2023")</f>
        <v/>
      </c>
    </row>
    <row r="22" ht="15" customHeight="1">
      <c r="A22" t="inlineStr">
        <is>
          <t>A 49517-2023</t>
        </is>
      </c>
      <c r="B22" s="1" t="n">
        <v>45211</v>
      </c>
      <c r="C22" s="1" t="n">
        <v>45505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8.5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HYPERLINK("https://klasma.github.io/Logging_0665/artfynd/A 49517-2023 artfynd.xlsx", "A 49517-2023")</f>
        <v/>
      </c>
      <c r="T22">
        <f>HYPERLINK("https://klasma.github.io/Logging_0665/kartor/A 49517-2023 karta.png", "A 49517-2023")</f>
        <v/>
      </c>
      <c r="V22">
        <f>HYPERLINK("https://klasma.github.io/Logging_0665/klagomål/A 49517-2023 FSC-klagomål.docx", "A 49517-2023")</f>
        <v/>
      </c>
      <c r="W22">
        <f>HYPERLINK("https://klasma.github.io/Logging_0665/klagomålsmail/A 49517-2023 FSC-klagomål mail.docx", "A 49517-2023")</f>
        <v/>
      </c>
      <c r="X22">
        <f>HYPERLINK("https://klasma.github.io/Logging_0665/tillsyn/A 49517-2023 tillsynsbegäran.docx", "A 49517-2023")</f>
        <v/>
      </c>
      <c r="Y22">
        <f>HYPERLINK("https://klasma.github.io/Logging_0665/tillsynsmail/A 49517-2023 tillsynsbegäran mail.docx", "A 49517-2023")</f>
        <v/>
      </c>
    </row>
    <row r="23" ht="15" customHeight="1">
      <c r="A23" t="inlineStr">
        <is>
          <t>A 18674-2024</t>
        </is>
      </c>
      <c r="B23" s="1" t="n">
        <v>45426</v>
      </c>
      <c r="C23" s="1" t="n">
        <v>45505</v>
      </c>
      <c r="D23" t="inlineStr">
        <is>
          <t>JÖNKÖPINGS LÄN</t>
        </is>
      </c>
      <c r="E23" t="inlineStr">
        <is>
          <t>VAGGERYD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HYPERLINK("https://klasma.github.io/Logging_0665/artfynd/A 18674-2024 artfynd.xlsx", "A 18674-2024")</f>
        <v/>
      </c>
      <c r="T23">
        <f>HYPERLINK("https://klasma.github.io/Logging_0665/kartor/A 18674-2024 karta.png", "A 18674-2024")</f>
        <v/>
      </c>
      <c r="V23">
        <f>HYPERLINK("https://klasma.github.io/Logging_0665/klagomål/A 18674-2024 FSC-klagomål.docx", "A 18674-2024")</f>
        <v/>
      </c>
      <c r="W23">
        <f>HYPERLINK("https://klasma.github.io/Logging_0665/klagomålsmail/A 18674-2024 FSC-klagomål mail.docx", "A 18674-2024")</f>
        <v/>
      </c>
      <c r="X23">
        <f>HYPERLINK("https://klasma.github.io/Logging_0665/tillsyn/A 18674-2024 tillsynsbegäran.docx", "A 18674-2024")</f>
        <v/>
      </c>
      <c r="Y23">
        <f>HYPERLINK("https://klasma.github.io/Logging_0665/tillsynsmail/A 18674-2024 tillsynsbegäran mail.docx", "A 18674-2024")</f>
        <v/>
      </c>
    </row>
    <row r="24" ht="15" customHeight="1">
      <c r="A24" t="inlineStr">
        <is>
          <t>A 25653-2024</t>
        </is>
      </c>
      <c r="B24" s="1" t="n">
        <v>45463</v>
      </c>
      <c r="C24" s="1" t="n">
        <v>45505</v>
      </c>
      <c r="D24" t="inlineStr">
        <is>
          <t>JÖNKÖPINGS LÄN</t>
        </is>
      </c>
      <c r="E24" t="inlineStr">
        <is>
          <t>VAGGERYD</t>
        </is>
      </c>
      <c r="G24" t="n">
        <v>13.3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HYPERLINK("https://klasma.github.io/Logging_0665/artfynd/A 25653-2024 artfynd.xlsx", "A 25653-2024")</f>
        <v/>
      </c>
      <c r="T24">
        <f>HYPERLINK("https://klasma.github.io/Logging_0665/kartor/A 25653-2024 karta.png", "A 25653-2024")</f>
        <v/>
      </c>
      <c r="V24">
        <f>HYPERLINK("https://klasma.github.io/Logging_0665/klagomål/A 25653-2024 FSC-klagomål.docx", "A 25653-2024")</f>
        <v/>
      </c>
      <c r="W24">
        <f>HYPERLINK("https://klasma.github.io/Logging_0665/klagomålsmail/A 25653-2024 FSC-klagomål mail.docx", "A 25653-2024")</f>
        <v/>
      </c>
      <c r="X24">
        <f>HYPERLINK("https://klasma.github.io/Logging_0665/tillsyn/A 25653-2024 tillsynsbegäran.docx", "A 25653-2024")</f>
        <v/>
      </c>
      <c r="Y24">
        <f>HYPERLINK("https://klasma.github.io/Logging_0665/tillsynsmail/A 25653-2024 tillsynsbegäran mail.docx", "A 25653-2024")</f>
        <v/>
      </c>
    </row>
    <row r="25" ht="15" customHeight="1">
      <c r="A25" t="inlineStr">
        <is>
          <t>A 17760-2019</t>
        </is>
      </c>
      <c r="B25" s="1" t="n">
        <v>43556</v>
      </c>
      <c r="C25" s="1" t="n">
        <v>45505</v>
      </c>
      <c r="D25" t="inlineStr">
        <is>
          <t>JÖNKÖPINGS LÄN</t>
        </is>
      </c>
      <c r="E25" t="inlineStr">
        <is>
          <t>VAGGERYD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19134-2019</t>
        </is>
      </c>
      <c r="B26" s="1" t="n">
        <v>43564</v>
      </c>
      <c r="C26" s="1" t="n">
        <v>45505</v>
      </c>
      <c r="D26" t="inlineStr">
        <is>
          <t>JÖNKÖPINGS LÄN</t>
        </is>
      </c>
      <c r="E26" t="inlineStr">
        <is>
          <t>VAGGERYD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19409-2019</t>
        </is>
      </c>
      <c r="B27" s="1" t="n">
        <v>43565</v>
      </c>
      <c r="C27" s="1" t="n">
        <v>45505</v>
      </c>
      <c r="D27" t="inlineStr">
        <is>
          <t>JÖNKÖPINGS LÄN</t>
        </is>
      </c>
      <c r="E27" t="inlineStr">
        <is>
          <t>VAGGERYD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19369-2019</t>
        </is>
      </c>
      <c r="B28" s="1" t="n">
        <v>43565</v>
      </c>
      <c r="C28" s="1" t="n">
        <v>45505</v>
      </c>
      <c r="D28" t="inlineStr">
        <is>
          <t>JÖNKÖPINGS LÄN</t>
        </is>
      </c>
      <c r="E28" t="inlineStr">
        <is>
          <t>VAGGERYD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19806-2019</t>
        </is>
      </c>
      <c r="B29" s="1" t="n">
        <v>43567</v>
      </c>
      <c r="C29" s="1" t="n">
        <v>45505</v>
      </c>
      <c r="D29" t="inlineStr">
        <is>
          <t>JÖNKÖPINGS LÄN</t>
        </is>
      </c>
      <c r="E29" t="inlineStr">
        <is>
          <t>VAGGERYD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20766-2019</t>
        </is>
      </c>
      <c r="B30" s="1" t="n">
        <v>43573</v>
      </c>
      <c r="C30" s="1" t="n">
        <v>45505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21217-2019</t>
        </is>
      </c>
      <c r="B31" s="1" t="n">
        <v>43579</v>
      </c>
      <c r="C31" s="1" t="n">
        <v>45505</v>
      </c>
      <c r="D31" t="inlineStr">
        <is>
          <t>JÖNKÖPINGS LÄN</t>
        </is>
      </c>
      <c r="E31" t="inlineStr">
        <is>
          <t>VAGGERYD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21481-2019</t>
        </is>
      </c>
      <c r="B32" s="1" t="n">
        <v>43580</v>
      </c>
      <c r="C32" s="1" t="n">
        <v>45505</v>
      </c>
      <c r="D32" t="inlineStr">
        <is>
          <t>JÖNKÖPINGS LÄN</t>
        </is>
      </c>
      <c r="E32" t="inlineStr">
        <is>
          <t>VAGGERYD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22680-2019</t>
        </is>
      </c>
      <c r="B33" s="1" t="n">
        <v>43588</v>
      </c>
      <c r="C33" s="1" t="n">
        <v>45505</v>
      </c>
      <c r="D33" t="inlineStr">
        <is>
          <t>JÖNKÖPINGS LÄN</t>
        </is>
      </c>
      <c r="E33" t="inlineStr">
        <is>
          <t>VAGGERYD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22991-2019</t>
        </is>
      </c>
      <c r="B34" s="1" t="n">
        <v>43588</v>
      </c>
      <c r="C34" s="1" t="n">
        <v>45505</v>
      </c>
      <c r="D34" t="inlineStr">
        <is>
          <t>JÖNKÖPINGS LÄN</t>
        </is>
      </c>
      <c r="E34" t="inlineStr">
        <is>
          <t>VAGGERYD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22678-2019</t>
        </is>
      </c>
      <c r="B35" s="1" t="n">
        <v>43588</v>
      </c>
      <c r="C35" s="1" t="n">
        <v>45505</v>
      </c>
      <c r="D35" t="inlineStr">
        <is>
          <t>JÖNKÖPINGS LÄN</t>
        </is>
      </c>
      <c r="E35" t="inlineStr">
        <is>
          <t>VAGGERYD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22676-2019</t>
        </is>
      </c>
      <c r="B36" s="1" t="n">
        <v>43588</v>
      </c>
      <c r="C36" s="1" t="n">
        <v>45505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22681-2019</t>
        </is>
      </c>
      <c r="B37" s="1" t="n">
        <v>43588</v>
      </c>
      <c r="C37" s="1" t="n">
        <v>45505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22814-2019</t>
        </is>
      </c>
      <c r="B38" s="1" t="n">
        <v>43590</v>
      </c>
      <c r="C38" s="1" t="n">
        <v>45505</v>
      </c>
      <c r="D38" t="inlineStr">
        <is>
          <t>JÖNKÖPINGS LÄN</t>
        </is>
      </c>
      <c r="E38" t="inlineStr">
        <is>
          <t>VAGGERYD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23024-2019</t>
        </is>
      </c>
      <c r="B39" s="1" t="n">
        <v>43591</v>
      </c>
      <c r="C39" s="1" t="n">
        <v>45505</v>
      </c>
      <c r="D39" t="inlineStr">
        <is>
          <t>JÖNKÖPINGS LÄN</t>
        </is>
      </c>
      <c r="E39" t="inlineStr">
        <is>
          <t>VAGGERYD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23602-2019</t>
        </is>
      </c>
      <c r="B40" s="1" t="n">
        <v>43594</v>
      </c>
      <c r="C40" s="1" t="n">
        <v>45505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24329-2019</t>
        </is>
      </c>
      <c r="B41" s="1" t="n">
        <v>43599</v>
      </c>
      <c r="C41" s="1" t="n">
        <v>45505</v>
      </c>
      <c r="D41" t="inlineStr">
        <is>
          <t>JÖNKÖPINGS LÄN</t>
        </is>
      </c>
      <c r="E41" t="inlineStr">
        <is>
          <t>VAGGERYD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26908-2019</t>
        </is>
      </c>
      <c r="B42" s="1" t="n">
        <v>43609</v>
      </c>
      <c r="C42" s="1" t="n">
        <v>45505</v>
      </c>
      <c r="D42" t="inlineStr">
        <is>
          <t>JÖNKÖPINGS LÄN</t>
        </is>
      </c>
      <c r="E42" t="inlineStr">
        <is>
          <t>VAGGERYD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26732-2019</t>
        </is>
      </c>
      <c r="B43" s="1" t="n">
        <v>43613</v>
      </c>
      <c r="C43" s="1" t="n">
        <v>45505</v>
      </c>
      <c r="D43" t="inlineStr">
        <is>
          <t>JÖNKÖPINGS LÄN</t>
        </is>
      </c>
      <c r="E43" t="inlineStr">
        <is>
          <t>VAGGERYD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28445-2019</t>
        </is>
      </c>
      <c r="B44" s="1" t="n">
        <v>43626</v>
      </c>
      <c r="C44" s="1" t="n">
        <v>45505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29189-2019</t>
        </is>
      </c>
      <c r="B45" s="1" t="n">
        <v>43629</v>
      </c>
      <c r="C45" s="1" t="n">
        <v>45505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29914-2019</t>
        </is>
      </c>
      <c r="B46" s="1" t="n">
        <v>43633</v>
      </c>
      <c r="C46" s="1" t="n">
        <v>45505</v>
      </c>
      <c r="D46" t="inlineStr">
        <is>
          <t>JÖNKÖPINGS LÄN</t>
        </is>
      </c>
      <c r="E46" t="inlineStr">
        <is>
          <t>VAGGERYD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32940-2019</t>
        </is>
      </c>
      <c r="B47" s="1" t="n">
        <v>43648</v>
      </c>
      <c r="C47" s="1" t="n">
        <v>45505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32938-2019</t>
        </is>
      </c>
      <c r="B48" s="1" t="n">
        <v>43648</v>
      </c>
      <c r="C48" s="1" t="n">
        <v>45505</v>
      </c>
      <c r="D48" t="inlineStr">
        <is>
          <t>JÖNKÖPINGS LÄN</t>
        </is>
      </c>
      <c r="E48" t="inlineStr">
        <is>
          <t>VAGGERYD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36089-2019</t>
        </is>
      </c>
      <c r="B49" s="1" t="n">
        <v>43668</v>
      </c>
      <c r="C49" s="1" t="n">
        <v>45505</v>
      </c>
      <c r="D49" t="inlineStr">
        <is>
          <t>JÖNKÖPINGS LÄN</t>
        </is>
      </c>
      <c r="E49" t="inlineStr">
        <is>
          <t>VAGGERYD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36922-2019</t>
        </is>
      </c>
      <c r="B50" s="1" t="n">
        <v>43675</v>
      </c>
      <c r="C50" s="1" t="n">
        <v>45505</v>
      </c>
      <c r="D50" t="inlineStr">
        <is>
          <t>JÖNKÖPINGS LÄN</t>
        </is>
      </c>
      <c r="E50" t="inlineStr">
        <is>
          <t>VAGGERYD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38473-2019</t>
        </is>
      </c>
      <c r="B51" s="1" t="n">
        <v>43685</v>
      </c>
      <c r="C51" s="1" t="n">
        <v>45505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39605-2019</t>
        </is>
      </c>
      <c r="B52" s="1" t="n">
        <v>43686</v>
      </c>
      <c r="C52" s="1" t="n">
        <v>45505</v>
      </c>
      <c r="D52" t="inlineStr">
        <is>
          <t>JÖNKÖPINGS LÄN</t>
        </is>
      </c>
      <c r="E52" t="inlineStr">
        <is>
          <t>VAGGERYD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39101-2019</t>
        </is>
      </c>
      <c r="B53" s="1" t="n">
        <v>43689</v>
      </c>
      <c r="C53" s="1" t="n">
        <v>45505</v>
      </c>
      <c r="D53" t="inlineStr">
        <is>
          <t>JÖNKÖPINGS LÄN</t>
        </is>
      </c>
      <c r="E53" t="inlineStr">
        <is>
          <t>VAGGERYD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40234-2019</t>
        </is>
      </c>
      <c r="B54" s="1" t="n">
        <v>43694</v>
      </c>
      <c r="C54" s="1" t="n">
        <v>45505</v>
      </c>
      <c r="D54" t="inlineStr">
        <is>
          <t>JÖNKÖPINGS LÄN</t>
        </is>
      </c>
      <c r="E54" t="inlineStr">
        <is>
          <t>VAGGERYD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41361-2019</t>
        </is>
      </c>
      <c r="B55" s="1" t="n">
        <v>43696</v>
      </c>
      <c r="C55" s="1" t="n">
        <v>45505</v>
      </c>
      <c r="D55" t="inlineStr">
        <is>
          <t>JÖNKÖPINGS LÄN</t>
        </is>
      </c>
      <c r="E55" t="inlineStr">
        <is>
          <t>VAGGERYD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44417-2019</t>
        </is>
      </c>
      <c r="B56" s="1" t="n">
        <v>43711</v>
      </c>
      <c r="C56" s="1" t="n">
        <v>45505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48386-2019</t>
        </is>
      </c>
      <c r="B57" s="1" t="n">
        <v>43726</v>
      </c>
      <c r="C57" s="1" t="n">
        <v>45505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48388-2019</t>
        </is>
      </c>
      <c r="B58" s="1" t="n">
        <v>43726</v>
      </c>
      <c r="C58" s="1" t="n">
        <v>45505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52515-2019</t>
        </is>
      </c>
      <c r="B59" s="1" t="n">
        <v>43745</v>
      </c>
      <c r="C59" s="1" t="n">
        <v>45505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45505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45505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45505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45505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45505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45505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45505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45505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45505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45505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45505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45505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45505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45505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45505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45505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45505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45505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45505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45505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45505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45505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45505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45505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45505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45505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45505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45505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45505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45505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45505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45505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45505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45505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45505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45505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45505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45505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45505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45505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45505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45505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45505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45505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45505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45505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45505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45505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45505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45505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45505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45505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45505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45505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45505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45505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45505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45505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45505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45505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45505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45505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45505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45505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45505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45505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45505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45505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45505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45505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45505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45505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45505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45505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45505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45505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45505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45505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45505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45505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45505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45505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45505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45505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45505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45505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45505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45505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45505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45505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45505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45505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45505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45505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45505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45505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45505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45505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45505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45505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45505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45505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45505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45505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45505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45505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45505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45505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45505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45505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45505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45505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45505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45505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45505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45505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45505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45505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45505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45505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45505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45505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45505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45505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45505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45505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45505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45505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45505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45505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45505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45505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45505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45505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45505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45505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45505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45505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45505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45505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45505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45505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45505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45505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45505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45505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45505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45505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45505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45505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45505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45505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45505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45505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45505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45505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45505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45505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45505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45505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45505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45505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45505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45505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45505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45505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45505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45505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45505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45505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45505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45505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45505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45505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45505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45505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45505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45505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45505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45505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45505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45505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45505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45505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45505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45505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45505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45505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45505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45505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45505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45505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45505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45505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45505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45505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45505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45505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45505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45505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45505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45505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45505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45505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45505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45505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45505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45505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45505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45505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45505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45505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45505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45505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45505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45505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45505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45505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45505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45505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45505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45505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45505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45505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45505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45505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45505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45505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45505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45505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45505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45505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45505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45505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45505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45505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45505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45505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45505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45505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45505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45505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45505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45505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45505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45505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45505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45505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45505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45505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45505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45505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45505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45505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45505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45505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45505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45505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45505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45505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45505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45505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45505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45505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45505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45505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45505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45505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45505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45505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45505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45505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45505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45505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45505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45505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45505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45505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45505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45505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45505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45505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45505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45505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45505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45505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45505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45505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45505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45505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45505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45505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45505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45505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45505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45505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45505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45505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45505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45505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45505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45505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45505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45505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45505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45505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45505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45505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45505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45505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45505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45505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45505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45505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45505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45505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45505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45505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45505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45505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45505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45505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45505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45505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45505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45505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45505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45505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45505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45505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45505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45505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45505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45505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45505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45505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45505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45505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45505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45505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45505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45505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45505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45505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45505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45505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45505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45505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45505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45505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45505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45505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45505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45505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45505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45505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45505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45505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45505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45505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45505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45505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45505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45505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45505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45505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45505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45505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45505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45505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45505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45505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45505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45505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45505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45505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45505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45505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45505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45505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45505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45505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45505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45505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45505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45505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45505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45505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45505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45505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45505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45505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45505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45505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45505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45505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45505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45505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45505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45505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45505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45505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45505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45505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45505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45505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45505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45505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45505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45505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45505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45505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45505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45505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45505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45505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45505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45505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45505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45505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45505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45505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45505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45505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45505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45505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45505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45505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45505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45505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45505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45505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45505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45505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45505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45505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45505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45505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45505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45505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45505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45505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45505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45505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45505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45505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45505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45505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45505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45505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45505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45505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45505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45505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45505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45505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45505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45505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45505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45505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45505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45505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45505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45505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45505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45505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45505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45505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45505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45505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45505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45505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45505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45505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45505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45505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45505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45505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45505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45505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45505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45505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45505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45505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45505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45505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45505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45505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45505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45505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45505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45505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45505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45505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45505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45505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45505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45505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45505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45505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45505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45505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45505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45505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45505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45505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45505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45505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45505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45505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45505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45505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45505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45505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45505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45505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45505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45505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45505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45505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45505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45505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45505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45505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45505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45505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45505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45505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45505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45505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45505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45505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45505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45505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45505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45505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45505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45505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45505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45505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45505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45505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45505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45505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45505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45505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45505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45505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45505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45505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45505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45505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45505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45505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45505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45505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45505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45505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45505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45505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45505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45505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45505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45505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45505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45505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45505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45505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45505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45505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45505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45505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45505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45505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45505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45505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45505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45505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45505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45505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45505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45505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45505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45505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45505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45505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45505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45505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45505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45505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45505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45505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45505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45505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45505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45505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45505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45505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45505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45505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45505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45505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45505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45505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45505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45505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45505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45505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45505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45505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45505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45505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45505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45505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45505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45505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45505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45505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45505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45505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45505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45505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45505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45505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45505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45505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45505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45505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45505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45505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45505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45505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45505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45505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45505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45505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45505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45505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45505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45505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45505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45505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45505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45505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45505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45505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22767-2024</t>
        </is>
      </c>
      <c r="B706" s="1" t="n">
        <v>45448</v>
      </c>
      <c r="C706" s="1" t="n">
        <v>45505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22742-2024</t>
        </is>
      </c>
      <c r="B707" s="1" t="n">
        <v>45448</v>
      </c>
      <c r="C707" s="1" t="n">
        <v>45505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45505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22769-2024</t>
        </is>
      </c>
      <c r="B709" s="1" t="n">
        <v>45448</v>
      </c>
      <c r="C709" s="1" t="n">
        <v>45505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45505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45505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24695-2024</t>
        </is>
      </c>
      <c r="B712" s="1" t="n">
        <v>45460</v>
      </c>
      <c r="C712" s="1" t="n">
        <v>45505</v>
      </c>
      <c r="D712" t="inlineStr">
        <is>
          <t>JÖNKÖPINGS LÄN</t>
        </is>
      </c>
      <c r="E712" t="inlineStr">
        <is>
          <t>VAGGERYD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24523-2024</t>
        </is>
      </c>
      <c r="B713" s="1" t="n">
        <v>45460</v>
      </c>
      <c r="C713" s="1" t="n">
        <v>45505</v>
      </c>
      <c r="D713" t="inlineStr">
        <is>
          <t>JÖNKÖPINGS LÄN</t>
        </is>
      </c>
      <c r="E713" t="inlineStr">
        <is>
          <t>VAGGERYD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25418-2024</t>
        </is>
      </c>
      <c r="B714" s="1" t="n">
        <v>45462</v>
      </c>
      <c r="C714" s="1" t="n">
        <v>45505</v>
      </c>
      <c r="D714" t="inlineStr">
        <is>
          <t>JÖNKÖPINGS LÄN</t>
        </is>
      </c>
      <c r="E714" t="inlineStr">
        <is>
          <t>VAGGERYD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25136-2024</t>
        </is>
      </c>
      <c r="B715" s="1" t="n">
        <v>45462</v>
      </c>
      <c r="C715" s="1" t="n">
        <v>45505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25095-2024</t>
        </is>
      </c>
      <c r="B716" s="1" t="n">
        <v>45462</v>
      </c>
      <c r="C716" s="1" t="n">
        <v>45505</v>
      </c>
      <c r="D716" t="inlineStr">
        <is>
          <t>JÖNKÖPINGS LÄN</t>
        </is>
      </c>
      <c r="E716" t="inlineStr">
        <is>
          <t>VAGGERYD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25135-2024</t>
        </is>
      </c>
      <c r="B717" s="1" t="n">
        <v>45462</v>
      </c>
      <c r="C717" s="1" t="n">
        <v>45505</v>
      </c>
      <c r="D717" t="inlineStr">
        <is>
          <t>JÖNKÖPINGS LÄN</t>
        </is>
      </c>
      <c r="E717" t="inlineStr">
        <is>
          <t>VAGGERYD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25092-2024</t>
        </is>
      </c>
      <c r="B718" s="1" t="n">
        <v>45462</v>
      </c>
      <c r="C718" s="1" t="n">
        <v>45505</v>
      </c>
      <c r="D718" t="inlineStr">
        <is>
          <t>JÖNKÖPINGS LÄN</t>
        </is>
      </c>
      <c r="E718" t="inlineStr">
        <is>
          <t>VAGGERYD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25623-2024</t>
        </is>
      </c>
      <c r="B719" s="1" t="n">
        <v>45463</v>
      </c>
      <c r="C719" s="1" t="n">
        <v>45505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25620-2024</t>
        </is>
      </c>
      <c r="B720" s="1" t="n">
        <v>45463</v>
      </c>
      <c r="C720" s="1" t="n">
        <v>45505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45505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26450-2024</t>
        </is>
      </c>
      <c r="B722" s="1" t="n">
        <v>45469</v>
      </c>
      <c r="C722" s="1" t="n">
        <v>45505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26610-2024</t>
        </is>
      </c>
      <c r="B723" s="1" t="n">
        <v>45469</v>
      </c>
      <c r="C723" s="1" t="n">
        <v>45505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26614-2024</t>
        </is>
      </c>
      <c r="B724" s="1" t="n">
        <v>45469</v>
      </c>
      <c r="C724" s="1" t="n">
        <v>45505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26688-2024</t>
        </is>
      </c>
      <c r="B725" s="1" t="n">
        <v>45469</v>
      </c>
      <c r="C725" s="1" t="n">
        <v>45505</v>
      </c>
      <c r="D725" t="inlineStr">
        <is>
          <t>JÖNKÖPINGS LÄN</t>
        </is>
      </c>
      <c r="E725" t="inlineStr">
        <is>
          <t>VAGGERYD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26487-2024</t>
        </is>
      </c>
      <c r="B726" s="1" t="n">
        <v>45469</v>
      </c>
      <c r="C726" s="1" t="n">
        <v>45505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26374-2024</t>
        </is>
      </c>
      <c r="B727" s="1" t="n">
        <v>45469</v>
      </c>
      <c r="C727" s="1" t="n">
        <v>45505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26376-2024</t>
        </is>
      </c>
      <c r="B728" s="1" t="n">
        <v>45469</v>
      </c>
      <c r="C728" s="1" t="n">
        <v>45505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45505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45505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26745-2024</t>
        </is>
      </c>
      <c r="B731" s="1" t="n">
        <v>45470</v>
      </c>
      <c r="C731" s="1" t="n">
        <v>45505</v>
      </c>
      <c r="D731" t="inlineStr">
        <is>
          <t>JÖNKÖPINGS LÄN</t>
        </is>
      </c>
      <c r="E731" t="inlineStr">
        <is>
          <t>VAGGERYD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28465-2024</t>
        </is>
      </c>
      <c r="B732" s="1" t="n">
        <v>45477</v>
      </c>
      <c r="C732" s="1" t="n">
        <v>45505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28469-2024</t>
        </is>
      </c>
      <c r="B733" s="1" t="n">
        <v>45477</v>
      </c>
      <c r="C733" s="1" t="n">
        <v>45505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28466-2024</t>
        </is>
      </c>
      <c r="B734" s="1" t="n">
        <v>45477</v>
      </c>
      <c r="C734" s="1" t="n">
        <v>45505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28470-2024</t>
        </is>
      </c>
      <c r="B735" s="1" t="n">
        <v>45477</v>
      </c>
      <c r="C735" s="1" t="n">
        <v>45505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45505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29403-2024</t>
        </is>
      </c>
      <c r="B737" s="1" t="n">
        <v>45483</v>
      </c>
      <c r="C737" s="1" t="n">
        <v>45505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30297-2024</t>
        </is>
      </c>
      <c r="B738" s="1" t="n">
        <v>45490</v>
      </c>
      <c r="C738" s="1" t="n">
        <v>45505</v>
      </c>
      <c r="D738" t="inlineStr">
        <is>
          <t>JÖNKÖPINGS LÄN</t>
        </is>
      </c>
      <c r="E738" t="inlineStr">
        <is>
          <t>VAGGERYD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30758-2024</t>
        </is>
      </c>
      <c r="B739" s="1" t="n">
        <v>45496</v>
      </c>
      <c r="C739" s="1" t="n">
        <v>45505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30759-2024</t>
        </is>
      </c>
      <c r="B740" s="1" t="n">
        <v>45496</v>
      </c>
      <c r="C740" s="1" t="n">
        <v>45505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30757-2024</t>
        </is>
      </c>
      <c r="B741" s="1" t="n">
        <v>45496</v>
      </c>
      <c r="C741" s="1" t="n">
        <v>45505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30915-2024</t>
        </is>
      </c>
      <c r="B742" s="1" t="n">
        <v>45498</v>
      </c>
      <c r="C742" s="1" t="n">
        <v>45505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31016-2024</t>
        </is>
      </c>
      <c r="B743" s="1" t="n">
        <v>45499</v>
      </c>
      <c r="C743" s="1" t="n">
        <v>45505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31018-2024</t>
        </is>
      </c>
      <c r="B744" s="1" t="n">
        <v>45499</v>
      </c>
      <c r="C744" s="1" t="n">
        <v>45505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31017-2024</t>
        </is>
      </c>
      <c r="B745" s="1" t="n">
        <v>45499</v>
      </c>
      <c r="C745" s="1" t="n">
        <v>45505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2024-08-01T10:46:25Z</dcterms:created>
  <dcterms:modified xmlns:dcterms="http://purl.org/dc/terms/" xmlns:xsi="http://www.w3.org/2001/XMLSchema-instance" xsi:type="dcterms:W3CDTF">2024-08-01T10:46:25Z</dcterms:modified>
</cp:coreProperties>
</file>