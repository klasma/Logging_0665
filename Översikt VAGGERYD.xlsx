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46221</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Y3">
        <f>HYPERLINK("https://klasma.github.io/Logging_0665/klagomål/S 272-2023 FSC-klagomål.docx", "S 272-2023")</f>
        <v/>
      </c>
      <c r="Z3">
        <f>HYPERLINK("https://klasma.github.io/Logging_0665/klagomålsmail/S 272-2023 FSC-klagomål mail.docx", "S 272-2023")</f>
        <v/>
      </c>
      <c r="AA3">
        <f>HYPERLINK("https://klasma.github.io/Logging_0665/tillsyn/S 272-2023 tillsynsbegäran.docx", "S 272-2023")</f>
        <v/>
      </c>
      <c r="AB3">
        <f>HYPERLINK("https://klasma.github.io/Logging_0665/tillsynsmail/S 272-2023 tillsynsbegäran mail.docx", "S 272-2023")</f>
        <v/>
      </c>
      <c r="AC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46221</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Y4">
        <f>HYPERLINK("https://klasma.github.io/Logging_0665/klagomål/S 948-2022 FSC-klagomål.docx", "S 948-2022")</f>
        <v/>
      </c>
      <c r="Z4">
        <f>HYPERLINK("https://klasma.github.io/Logging_0665/klagomålsmail/S 948-2022 FSC-klagomål mail.docx", "S 948-2022")</f>
        <v/>
      </c>
      <c r="AA4">
        <f>HYPERLINK("https://klasma.github.io/Logging_0665/tillsyn/S 948-2022 tillsynsbegäran.docx", "S 948-2022")</f>
        <v/>
      </c>
      <c r="AB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46221</v>
      </c>
      <c r="F5" t="inlineStr">
        <is>
          <t>JÖNKÖPINGS LÄN</t>
        </is>
      </c>
      <c r="G5" t="inlineStr">
        <is>
          <t>VAGGERYD</t>
        </is>
      </c>
      <c r="H5" t="inlineStr">
        <is>
          <t>Sveaskog</t>
        </is>
      </c>
      <c r="I5" t="n">
        <v>839.6</v>
      </c>
      <c r="J5" t="n">
        <v>4</v>
      </c>
      <c r="K5" t="n">
        <v>5</v>
      </c>
      <c r="L5" t="n">
        <v>4</v>
      </c>
      <c r="M5" t="n">
        <v>1</v>
      </c>
      <c r="N5" t="n">
        <v>0</v>
      </c>
      <c r="O5" t="n">
        <v>0</v>
      </c>
      <c r="P5" t="n">
        <v>0</v>
      </c>
      <c r="Q5" t="n">
        <v>5</v>
      </c>
      <c r="R5" t="n">
        <v>1</v>
      </c>
      <c r="S5" t="n">
        <v>12</v>
      </c>
      <c r="T5" t="n">
        <v>16</v>
      </c>
      <c r="U5" s="2" t="inlineStr">
        <is>
          <t>Garnlav
Grynig filtlav
Kattfotslav
Kungsörn
Svinrot
Dvärgtufs
Rävticka
Skuggmossa
Spindelblomster
Stor revmossa
Tjäder
Fläcknycklar</t>
        </is>
      </c>
      <c r="V5">
        <f>HYPERLINK("https://klasma.github.io/Logging_0665/artfynd/S 781-2024 artfynd.xlsx", "S 781-2024")</f>
        <v/>
      </c>
      <c r="W5">
        <f>HYPERLINK("https://klasma.github.io/Logging_0665/kartor/S 781-2024 karta.png", "S 781-2024")</f>
        <v/>
      </c>
      <c r="Y5">
        <f>HYPERLINK("https://klasma.github.io/Logging_0665/klagomål/S 781-2024 FSC-klagomål.docx", "S 781-2024")</f>
        <v/>
      </c>
      <c r="Z5">
        <f>HYPERLINK("https://klasma.github.io/Logging_0665/klagomålsmail/S 781-2024 FSC-klagomål mail.docx", "S 781-2024")</f>
        <v/>
      </c>
      <c r="AA5">
        <f>HYPERLINK("https://klasma.github.io/Logging_0665/tillsyn/S 781-2024 tillsynsbegäran.docx", "S 781-2024")</f>
        <v/>
      </c>
      <c r="AB5">
        <f>HYPERLINK("https://klasma.github.io/Logging_0665/tillsynsmail/S 781-2024 tillsynsbegäran mail.docx", "S 781-2024")</f>
        <v/>
      </c>
      <c r="AC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46221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s="2" t="inlineStr">
        <is>
          <t>Skrovlig taggsvamp
Dropptaggsvamp
Motaggsvamp
Tallriska
Tjäder
Sävsparv</t>
        </is>
      </c>
      <c r="V6">
        <f>HYPERLINK("https://klasma.github.io/Logging_0665/artfynd/S 960-2022 artfynd.xlsx", "S 960-2022")</f>
        <v/>
      </c>
      <c r="W6">
        <f>HYPERLINK("https://klasma.github.io/Logging_0665/kartor/S 960-2022 karta.png", "S 960-2022")</f>
        <v/>
      </c>
      <c r="Y6">
        <f>HYPERLINK("https://klasma.github.io/Logging_0665/klagomål/S 960-2022 FSC-klagomål.docx", "S 960-2022")</f>
        <v/>
      </c>
      <c r="Z6">
        <f>HYPERLINK("https://klasma.github.io/Logging_0665/klagomålsmail/S 960-2022 FSC-klagomål mail.docx", "S 960-2022")</f>
        <v/>
      </c>
      <c r="AA6">
        <f>HYPERLINK("https://klasma.github.io/Logging_0665/tillsyn/S 960-2022 tillsynsbegäran.docx", "S 960-2022")</f>
        <v/>
      </c>
      <c r="AB6">
        <f>HYPERLINK("https://klasma.github.io/Logging_0665/tillsynsmail/S 960-2022 tillsynsbegäran mail.docx", "S 960-2022")</f>
        <v/>
      </c>
      <c r="AC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46221</v>
      </c>
      <c r="F7" t="inlineStr">
        <is>
          <t>JÖNKÖPINGS LÄN</t>
        </is>
      </c>
      <c r="G7" t="inlineStr">
        <is>
          <t>VAGGERYD</t>
        </is>
      </c>
      <c r="I7" t="n">
        <v>40.6</v>
      </c>
      <c r="J7" t="n">
        <v>1</v>
      </c>
      <c r="K7" t="n">
        <v>3</v>
      </c>
      <c r="L7" t="n">
        <v>3</v>
      </c>
      <c r="M7" t="n">
        <v>0</v>
      </c>
      <c r="N7" t="n">
        <v>0</v>
      </c>
      <c r="O7" t="n">
        <v>0</v>
      </c>
      <c r="P7" t="n">
        <v>0</v>
      </c>
      <c r="Q7" t="n">
        <v>3</v>
      </c>
      <c r="R7" t="n">
        <v>0</v>
      </c>
      <c r="S7" t="n">
        <v>6</v>
      </c>
      <c r="T7" t="n">
        <v>7</v>
      </c>
      <c r="U7" s="2" t="inlineStr">
        <is>
          <t>Dunmossa
Gullpudra
Kattfotslav
Korallrot
Källpraktmossa
Rödgul trumpetsvamp</t>
        </is>
      </c>
      <c r="V7">
        <f>HYPERLINK("https://klasma.github.io/Logging_0665/artfynd/S 1318-2024 artfynd.xlsx", "S 1318-2024")</f>
        <v/>
      </c>
      <c r="W7">
        <f>HYPERLINK("https://klasma.github.io/Logging_0665/kartor/S 1318-2024 karta.png", "S 1318-2024")</f>
        <v/>
      </c>
      <c r="Y7">
        <f>HYPERLINK("https://klasma.github.io/Logging_0665/klagomål/S 1318-2024 FSC-klagomål.docx", "S 1318-2024")</f>
        <v/>
      </c>
      <c r="Z7">
        <f>HYPERLINK("https://klasma.github.io/Logging_0665/klagomålsmail/S 1318-2024 FSC-klagomål mail.docx", "S 1318-2024")</f>
        <v/>
      </c>
      <c r="AA7">
        <f>HYPERLINK("https://klasma.github.io/Logging_0665/tillsyn/S 1318-2024 tillsynsbegäran.docx", "S 1318-2024")</f>
        <v/>
      </c>
      <c r="AB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46221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s="2" t="inlineStr">
        <is>
          <t>Skrovlig taggsvamp
Dropptaggsvamp
Motaggsvamp
Tallriska
Tjäder
Sävsparv</t>
        </is>
      </c>
      <c r="V8">
        <f>HYPERLINK("https://klasma.github.io/Logging_0665/artfynd/S 270-2023 artfynd.xlsx", "S 270-2023")</f>
        <v/>
      </c>
      <c r="W8">
        <f>HYPERLINK("https://klasma.github.io/Logging_0665/kartor/S 270-2023 karta.png", "S 270-2023")</f>
        <v/>
      </c>
      <c r="Y8">
        <f>HYPERLINK("https://klasma.github.io/Logging_0665/klagomål/S 270-2023 FSC-klagomål.docx", "S 270-2023")</f>
        <v/>
      </c>
      <c r="Z8">
        <f>HYPERLINK("https://klasma.github.io/Logging_0665/klagomålsmail/S 270-2023 FSC-klagomål mail.docx", "S 270-2023")</f>
        <v/>
      </c>
      <c r="AA8">
        <f>HYPERLINK("https://klasma.github.io/Logging_0665/tillsyn/S 270-2023 tillsynsbegäran.docx", "S 270-2023")</f>
        <v/>
      </c>
      <c r="AB8">
        <f>HYPERLINK("https://klasma.github.io/Logging_0665/tillsynsmail/S 270-2023 tillsynsbegäran mail.docx", "S 270-2023")</f>
        <v/>
      </c>
      <c r="AC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46221</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Y9">
        <f>HYPERLINK("https://klasma.github.io/Logging_0665/klagomål/A 39569-2022 FSC-klagomål.docx", "A 39569-2022")</f>
        <v/>
      </c>
      <c r="Z9">
        <f>HYPERLINK("https://klasma.github.io/Logging_0665/klagomålsmail/A 39569-2022 FSC-klagomål mail.docx", "A 39569-2022")</f>
        <v/>
      </c>
      <c r="AA9">
        <f>HYPERLINK("https://klasma.github.io/Logging_0665/tillsyn/A 39569-2022 tillsynsbegäran.docx", "A 39569-2022")</f>
        <v/>
      </c>
      <c r="AB9">
        <f>HYPERLINK("https://klasma.github.io/Logging_0665/tillsynsmail/A 39569-2022 tillsynsbegäran mail.docx", "A 39569-2022")</f>
        <v/>
      </c>
      <c r="AC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Y10">
        <f>HYPERLINK("https://klasma.github.io/Logging_0665/klagomål/S 1062-2026 FSC-klagomål.docx", "S 1062-2026")</f>
        <v/>
      </c>
      <c r="Z10">
        <f>HYPERLINK("https://klasma.github.io/Logging_0665/klagomålsmail/S 1062-2026 FSC-klagomål mail.docx", "S 1062-2026")</f>
        <v/>
      </c>
      <c r="AA10">
        <f>HYPERLINK("https://klasma.github.io/Logging_0665/tillsyn/S 1062-2026 tillsynsbegäran.docx", "S 1062-2026")</f>
        <v/>
      </c>
      <c r="AB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Y11">
        <f>HYPERLINK("https://klasma.github.io/Logging_0665/klagomål/S 2458-2023 FSC-klagomål.docx", "S 2458-2023")</f>
        <v/>
      </c>
      <c r="Z11">
        <f>HYPERLINK("https://klasma.github.io/Logging_0665/klagomålsmail/S 2458-2023 FSC-klagomål mail.docx", "S 2458-2023")</f>
        <v/>
      </c>
      <c r="AA11">
        <f>HYPERLINK("https://klasma.github.io/Logging_0665/tillsyn/S 2458-2023 tillsynsbegäran.docx", "S 2458-2023")</f>
        <v/>
      </c>
      <c r="AB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Y12">
        <f>HYPERLINK("https://klasma.github.io/Logging_0665/klagomål/A 13679-2022 FSC-klagomål.docx", "A 13679-2022")</f>
        <v/>
      </c>
      <c r="Z12">
        <f>HYPERLINK("https://klasma.github.io/Logging_0665/klagomålsmail/A 13679-2022 FSC-klagomål mail.docx", "A 13679-2022")</f>
        <v/>
      </c>
      <c r="AA12">
        <f>HYPERLINK("https://klasma.github.io/Logging_0665/tillsyn/A 13679-2022 tillsynsbegäran.docx", "A 13679-2022")</f>
        <v/>
      </c>
      <c r="AB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Y13">
        <f>HYPERLINK("https://klasma.github.io/Logging_0665/klagomål/S 1281-2020 FSC-klagomål.docx", "S 1281-2020")</f>
        <v/>
      </c>
      <c r="Z13">
        <f>HYPERLINK("https://klasma.github.io/Logging_0665/klagomålsmail/S 1281-2020 FSC-klagomål mail.docx", "S 1281-2020")</f>
        <v/>
      </c>
      <c r="AA13">
        <f>HYPERLINK("https://klasma.github.io/Logging_0665/tillsyn/S 1281-2020 tillsynsbegäran.docx", "S 1281-2020")</f>
        <v/>
      </c>
      <c r="AB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Y14">
        <f>HYPERLINK("https://klasma.github.io/Logging_0665/klagomål/S 532-2024 FSC-klagomål.docx", "S 532-2024")</f>
        <v/>
      </c>
      <c r="Z14">
        <f>HYPERLINK("https://klasma.github.io/Logging_0665/klagomålsmail/S 532-2024 FSC-klagomål mail.docx", "S 532-2024")</f>
        <v/>
      </c>
      <c r="AA14">
        <f>HYPERLINK("https://klasma.github.io/Logging_0665/tillsyn/S 532-2024 tillsynsbegäran.docx", "S 532-2024")</f>
        <v/>
      </c>
      <c r="AB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46221</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s="2" t="inlineStr">
        <is>
          <t>Större vattensalamander
Mindre vattensalamander</t>
        </is>
      </c>
      <c r="V15">
        <f>HYPERLINK("https://klasma.github.io/Logging_0665/artfynd/A 6937-2024 artfynd.xlsx", "A 6937-2024")</f>
        <v/>
      </c>
      <c r="W15">
        <f>HYPERLINK("https://klasma.github.io/Logging_0665/kartor/A 6937-2024 karta.png", "A 6937-2024")</f>
        <v/>
      </c>
      <c r="Y15">
        <f>HYPERLINK("https://klasma.github.io/Logging_0665/klagomål/A 6937-2024 FSC-klagomål.docx", "A 6937-2024")</f>
        <v/>
      </c>
      <c r="Z15">
        <f>HYPERLINK("https://klasma.github.io/Logging_0665/klagomålsmail/A 6937-2024 FSC-klagomål mail.docx", "A 6937-2024")</f>
        <v/>
      </c>
      <c r="AA15">
        <f>HYPERLINK("https://klasma.github.io/Logging_0665/tillsyn/A 6937-2024 tillsynsbegäran.docx", "A 6937-2024")</f>
        <v/>
      </c>
      <c r="AB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46221</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s="2" t="inlineStr">
        <is>
          <t>Korallrot
Spindelblomster</t>
        </is>
      </c>
      <c r="V16">
        <f>HYPERLINK("https://klasma.github.io/Logging_0665/artfynd/A 4015-2023 artfynd.xlsx", "A 4015-2023")</f>
        <v/>
      </c>
      <c r="W16">
        <f>HYPERLINK("https://klasma.github.io/Logging_0665/kartor/A 4015-2023 karta.png", "A 4015-2023")</f>
        <v/>
      </c>
      <c r="Y16">
        <f>HYPERLINK("https://klasma.github.io/Logging_0665/klagomål/A 4015-2023 FSC-klagomål.docx", "A 4015-2023")</f>
        <v/>
      </c>
      <c r="Z16">
        <f>HYPERLINK("https://klasma.github.io/Logging_0665/klagomålsmail/A 4015-2023 FSC-klagomål mail.docx", "A 4015-2023")</f>
        <v/>
      </c>
      <c r="AA16">
        <f>HYPERLINK("https://klasma.github.io/Logging_0665/tillsyn/A 4015-2023 tillsynsbegäran.docx", "A 4015-2023")</f>
        <v/>
      </c>
      <c r="AB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46221</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s="2" t="inlineStr">
        <is>
          <t>Västlig hakmossa
Blåsippa</t>
        </is>
      </c>
      <c r="V17">
        <f>HYPERLINK("https://klasma.github.io/Logging_0665/artfynd/A 14416-2023 artfynd.xlsx", "A 14416-2023")</f>
        <v/>
      </c>
      <c r="W17">
        <f>HYPERLINK("https://klasma.github.io/Logging_0665/kartor/A 14416-2023 karta.png", "A 14416-2023")</f>
        <v/>
      </c>
      <c r="Y17">
        <f>HYPERLINK("https://klasma.github.io/Logging_0665/klagomål/A 14416-2023 FSC-klagomål.docx", "A 14416-2023")</f>
        <v/>
      </c>
      <c r="Z17">
        <f>HYPERLINK("https://klasma.github.io/Logging_0665/klagomålsmail/A 14416-2023 FSC-klagomål mail.docx", "A 14416-2023")</f>
        <v/>
      </c>
      <c r="AA17">
        <f>HYPERLINK("https://klasma.github.io/Logging_0665/tillsyn/A 14416-2023 tillsynsbegäran.docx", "A 14416-2023")</f>
        <v/>
      </c>
      <c r="AB17">
        <f>HYPERLINK("https://klasma.github.io/Logging_0665/tillsynsmail/A 14416-2023 tillsynsbegäran mail.docx", "A 14416-2023")</f>
        <v/>
      </c>
    </row>
    <row r="18" ht="15" customHeight="1">
      <c r="A18" t="inlineStr">
        <is>
          <t>A 8286-2026</t>
        </is>
      </c>
      <c r="B18" t="inlineStr">
        <is>
          <t>avverkningsanmälan</t>
        </is>
      </c>
      <c r="C18" t="inlineStr">
        <is>
          <t>Föryngringsavverkning</t>
        </is>
      </c>
      <c r="D18" s="1" t="n">
        <v>46063</v>
      </c>
      <c r="E18" s="1" t="n">
        <v>46221</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s="2" t="inlineStr">
        <is>
          <t>Backsippa
Backstarr</t>
        </is>
      </c>
      <c r="V18">
        <f>HYPERLINK("https://klasma.github.io/Logging_0665/artfynd/A 8286-2026 artfynd.xlsx", "A 8286-2026")</f>
        <v/>
      </c>
      <c r="W18">
        <f>HYPERLINK("https://klasma.github.io/Logging_0665/kartor/A 8286-2026 karta.png", "A 8286-2026")</f>
        <v/>
      </c>
      <c r="Y18">
        <f>HYPERLINK("https://klasma.github.io/Logging_0665/klagomål/A 8286-2026 FSC-klagomål.docx", "A 8286-2026")</f>
        <v/>
      </c>
      <c r="Z18">
        <f>HYPERLINK("https://klasma.github.io/Logging_0665/klagomålsmail/A 8286-2026 FSC-klagomål mail.docx", "A 8286-2026")</f>
        <v/>
      </c>
      <c r="AA18">
        <f>HYPERLINK("https://klasma.github.io/Logging_0665/tillsyn/A 8286-2026 tillsynsbegäran.docx", "A 8286-2026")</f>
        <v/>
      </c>
      <c r="AB18">
        <f>HYPERLINK("https://klasma.github.io/Logging_0665/tillsynsmail/A 8286-2026 tillsynsbegäran mail.docx", "A 8286-2026")</f>
        <v/>
      </c>
    </row>
    <row r="19" ht="15" customHeight="1">
      <c r="A19" t="inlineStr">
        <is>
          <t>A 58951-2025</t>
        </is>
      </c>
      <c r="B19" t="inlineStr">
        <is>
          <t>avverkningsanmälan</t>
        </is>
      </c>
      <c r="C19" t="inlineStr">
        <is>
          <t>Föryngringsavverkning</t>
        </is>
      </c>
      <c r="D19" s="1" t="n">
        <v>45987</v>
      </c>
      <c r="E19" s="1" t="n">
        <v>46221</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s="2" t="inlineStr">
        <is>
          <t>Bredgentiana
Nattviol</t>
        </is>
      </c>
      <c r="V19">
        <f>HYPERLINK("https://klasma.github.io/Logging_0665/artfynd/A 58951-2025 artfynd.xlsx", "A 58951-2025")</f>
        <v/>
      </c>
      <c r="W19">
        <f>HYPERLINK("https://klasma.github.io/Logging_0665/kartor/A 58951-2025 karta.png", "A 58951-2025")</f>
        <v/>
      </c>
      <c r="Y19">
        <f>HYPERLINK("https://klasma.github.io/Logging_0665/klagomål/A 58951-2025 FSC-klagomål.docx", "A 58951-2025")</f>
        <v/>
      </c>
      <c r="Z19">
        <f>HYPERLINK("https://klasma.github.io/Logging_0665/klagomålsmail/A 58951-2025 FSC-klagomål mail.docx", "A 58951-2025")</f>
        <v/>
      </c>
      <c r="AA19">
        <f>HYPERLINK("https://klasma.github.io/Logging_0665/tillsyn/A 58951-2025 tillsynsbegäran.docx", "A 58951-2025")</f>
        <v/>
      </c>
      <c r="AB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46221</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s="2" t="inlineStr">
        <is>
          <t>Gullpudra
Källpraktmossa</t>
        </is>
      </c>
      <c r="V20">
        <f>HYPERLINK("https://klasma.github.io/Logging_0665/artfynd/A 36553-2023 artfynd.xlsx", "A 36553-2023")</f>
        <v/>
      </c>
      <c r="W20">
        <f>HYPERLINK("https://klasma.github.io/Logging_0665/kartor/A 36553-2023 karta.png", "A 36553-2023")</f>
        <v/>
      </c>
      <c r="Y20">
        <f>HYPERLINK("https://klasma.github.io/Logging_0665/klagomål/A 36553-2023 FSC-klagomål.docx", "A 36553-2023")</f>
        <v/>
      </c>
      <c r="Z20">
        <f>HYPERLINK("https://klasma.github.io/Logging_0665/klagomålsmail/A 36553-2023 FSC-klagomål mail.docx", "A 36553-2023")</f>
        <v/>
      </c>
      <c r="AA20">
        <f>HYPERLINK("https://klasma.github.io/Logging_0665/tillsyn/A 36553-2023 tillsynsbegäran.docx", "A 36553-2023")</f>
        <v/>
      </c>
      <c r="AB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46221</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s="2" t="inlineStr">
        <is>
          <t>Västlig hakmossa
Nattviol</t>
        </is>
      </c>
      <c r="V21">
        <f>HYPERLINK("https://klasma.github.io/Logging_0665/artfynd/A 28929-2023 artfynd.xlsx", "A 28929-2023")</f>
        <v/>
      </c>
      <c r="W21">
        <f>HYPERLINK("https://klasma.github.io/Logging_0665/kartor/A 28929-2023 karta.png", "A 28929-2023")</f>
        <v/>
      </c>
      <c r="Y21">
        <f>HYPERLINK("https://klasma.github.io/Logging_0665/klagomål/A 28929-2023 FSC-klagomål.docx", "A 28929-2023")</f>
        <v/>
      </c>
      <c r="Z21">
        <f>HYPERLINK("https://klasma.github.io/Logging_0665/klagomålsmail/A 28929-2023 FSC-klagomål mail.docx", "A 28929-2023")</f>
        <v/>
      </c>
      <c r="AA21">
        <f>HYPERLINK("https://klasma.github.io/Logging_0665/tillsyn/A 28929-2023 tillsynsbegäran.docx", "A 28929-2023")</f>
        <v/>
      </c>
      <c r="AB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Y22">
        <f>HYPERLINK("https://klasma.github.io/Logging_0665/klagomål/S 500-2023 FSC-klagomål.docx", "S 500-2023")</f>
        <v/>
      </c>
      <c r="Z22">
        <f>HYPERLINK("https://klasma.github.io/Logging_0665/klagomålsmail/S 500-2023 FSC-klagomål mail.docx", "S 500-2023")</f>
        <v/>
      </c>
      <c r="AA22">
        <f>HYPERLINK("https://klasma.github.io/Logging_0665/tillsyn/S 500-2023 tillsynsbegäran.docx", "S 500-2023")</f>
        <v/>
      </c>
      <c r="AB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Y23">
        <f>HYPERLINK("https://klasma.github.io/Logging_0665/klagomål/S 1736-2025 FSC-klagomål.docx", "S 1736-2025")</f>
        <v/>
      </c>
      <c r="Z23">
        <f>HYPERLINK("https://klasma.github.io/Logging_0665/klagomålsmail/S 1736-2025 FSC-klagomål mail.docx", "S 1736-2025")</f>
        <v/>
      </c>
      <c r="AA23">
        <f>HYPERLINK("https://klasma.github.io/Logging_0665/tillsyn/S 1736-2025 tillsynsbegäran.docx", "S 1736-2025")</f>
        <v/>
      </c>
      <c r="AB23">
        <f>HYPERLINK("https://klasma.github.io/Logging_0665/tillsynsmail/S 1736-2025 tillsynsbegäran mail.docx", "S 1736-2025")</f>
        <v/>
      </c>
      <c r="AC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46221</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Y24">
        <f>HYPERLINK("https://klasma.github.io/Logging_0665/klagomål/A 58796-2021 FSC-klagomål.docx", "A 58796-2021")</f>
        <v/>
      </c>
      <c r="Z24">
        <f>HYPERLINK("https://klasma.github.io/Logging_0665/klagomålsmail/A 58796-2021 FSC-klagomål mail.docx", "A 58796-2021")</f>
        <v/>
      </c>
      <c r="AA24">
        <f>HYPERLINK("https://klasma.github.io/Logging_0665/tillsyn/A 58796-2021 tillsynsbegäran.docx", "A 58796-2021")</f>
        <v/>
      </c>
      <c r="AB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46221</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s="2" t="inlineStr">
        <is>
          <t>Ask</t>
        </is>
      </c>
      <c r="V25">
        <f>HYPERLINK("https://klasma.github.io/Logging_0665/artfynd/A 59140-2021 artfynd.xlsx", "A 59140-2021")</f>
        <v/>
      </c>
      <c r="W25">
        <f>HYPERLINK("https://klasma.github.io/Logging_0665/kartor/A 59140-2021 karta.png", "A 59140-2021")</f>
        <v/>
      </c>
      <c r="Y25">
        <f>HYPERLINK("https://klasma.github.io/Logging_0665/klagomål/A 59140-2021 FSC-klagomål.docx", "A 59140-2021")</f>
        <v/>
      </c>
      <c r="Z25">
        <f>HYPERLINK("https://klasma.github.io/Logging_0665/klagomålsmail/A 59140-2021 FSC-klagomål mail.docx", "A 59140-2021")</f>
        <v/>
      </c>
      <c r="AA25">
        <f>HYPERLINK("https://klasma.github.io/Logging_0665/tillsyn/A 59140-2021 tillsynsbegäran.docx", "A 59140-2021")</f>
        <v/>
      </c>
      <c r="AB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46221</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s="2" t="inlineStr">
        <is>
          <t>Blåmossa</t>
        </is>
      </c>
      <c r="V26">
        <f>HYPERLINK("https://klasma.github.io/Logging_0665/artfynd/A 25653-2024 artfynd.xlsx", "A 25653-2024")</f>
        <v/>
      </c>
      <c r="W26">
        <f>HYPERLINK("https://klasma.github.io/Logging_0665/kartor/A 25653-2024 karta.png", "A 25653-2024")</f>
        <v/>
      </c>
      <c r="Y26">
        <f>HYPERLINK("https://klasma.github.io/Logging_0665/klagomål/A 25653-2024 FSC-klagomål.docx", "A 25653-2024")</f>
        <v/>
      </c>
      <c r="Z26">
        <f>HYPERLINK("https://klasma.github.io/Logging_0665/klagomålsmail/A 25653-2024 FSC-klagomål mail.docx", "A 25653-2024")</f>
        <v/>
      </c>
      <c r="AA26">
        <f>HYPERLINK("https://klasma.github.io/Logging_0665/tillsyn/A 25653-2024 tillsynsbegäran.docx", "A 25653-2024")</f>
        <v/>
      </c>
      <c r="AB26">
        <f>HYPERLINK("https://klasma.github.io/Logging_0665/tillsynsmail/A 25653-2024 tillsynsbegäran mail.docx", "A 25653-2024")</f>
        <v/>
      </c>
    </row>
    <row r="27" ht="15" customHeight="1">
      <c r="A27" t="inlineStr">
        <is>
          <t>A 16941-2023</t>
        </is>
      </c>
      <c r="B27" t="inlineStr">
        <is>
          <t>avverkningsanmälan</t>
        </is>
      </c>
      <c r="C27" t="inlineStr">
        <is>
          <t>Föryngringsavverkning</t>
        </is>
      </c>
      <c r="D27" s="1" t="n">
        <v>45033</v>
      </c>
      <c r="E27" s="1" t="n">
        <v>46221</v>
      </c>
      <c r="F27" t="inlineStr">
        <is>
          <t>JÖNKÖPINGS LÄN</t>
        </is>
      </c>
      <c r="G27" t="inlineStr">
        <is>
          <t>VAGGERYD</t>
        </is>
      </c>
      <c r="I27" t="n">
        <v>8.699999999999999</v>
      </c>
      <c r="J27" t="n">
        <v>0</v>
      </c>
      <c r="K27" t="n">
        <v>0</v>
      </c>
      <c r="L27" t="n">
        <v>1</v>
      </c>
      <c r="M27" t="n">
        <v>0</v>
      </c>
      <c r="N27" t="n">
        <v>0</v>
      </c>
      <c r="O27" t="n">
        <v>0</v>
      </c>
      <c r="P27" t="n">
        <v>0</v>
      </c>
      <c r="Q27" t="n">
        <v>1</v>
      </c>
      <c r="R27" t="n">
        <v>0</v>
      </c>
      <c r="S27" t="n">
        <v>1</v>
      </c>
      <c r="T27" t="n">
        <v>1</v>
      </c>
      <c r="U27" s="2" t="inlineStr">
        <is>
          <t>Loppstarr</t>
        </is>
      </c>
      <c r="V27">
        <f>HYPERLINK("https://klasma.github.io/Logging_0665/artfynd/A 16941-2023 artfynd.xlsx", "A 16941-2023")</f>
        <v/>
      </c>
      <c r="W27">
        <f>HYPERLINK("https://klasma.github.io/Logging_0665/kartor/A 16941-2023 karta.png", "A 16941-2023")</f>
        <v/>
      </c>
      <c r="X27">
        <f>HYPERLINK("https://klasma.github.io/Logging_0665/knärot/A 16941-2023 karta knärot.png", "A 16941-2023")</f>
        <v/>
      </c>
      <c r="Y27">
        <f>HYPERLINK("https://klasma.github.io/Logging_0665/klagomål/A 16941-2023 FSC-klagomål.docx", "A 16941-2023")</f>
        <v/>
      </c>
      <c r="Z27">
        <f>HYPERLINK("https://klasma.github.io/Logging_0665/klagomålsmail/A 16941-2023 FSC-klagomål mail.docx", "A 16941-2023")</f>
        <v/>
      </c>
      <c r="AA27">
        <f>HYPERLINK("https://klasma.github.io/Logging_0665/tillsyn/A 16941-2023 tillsynsbegäran.docx", "A 16941-2023")</f>
        <v/>
      </c>
      <c r="AB27">
        <f>HYPERLINK("https://klasma.github.io/Logging_0665/tillsynsmail/A 16941-2023 tillsynsbegäran mail.docx", "A 16941-2023")</f>
        <v/>
      </c>
    </row>
    <row r="28" ht="15" customHeight="1">
      <c r="A28" t="inlineStr">
        <is>
          <t>A 60509-2025</t>
        </is>
      </c>
      <c r="B28" t="inlineStr">
        <is>
          <t>avverkningsanmälan</t>
        </is>
      </c>
      <c r="C28" t="inlineStr">
        <is>
          <t>Föryngringsavverkning</t>
        </is>
      </c>
      <c r="D28" s="1" t="n">
        <v>45995</v>
      </c>
      <c r="E28" s="1" t="n">
        <v>46221</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s="2" t="inlineStr">
        <is>
          <t>Hasselmus</t>
        </is>
      </c>
      <c r="V28">
        <f>HYPERLINK("https://klasma.github.io/Logging_0665/artfynd/A 60509-2025 artfynd.xlsx", "A 60509-2025")</f>
        <v/>
      </c>
      <c r="W28">
        <f>HYPERLINK("https://klasma.github.io/Logging_0665/kartor/A 60509-2025 karta.png", "A 60509-2025")</f>
        <v/>
      </c>
      <c r="Y28">
        <f>HYPERLINK("https://klasma.github.io/Logging_0665/klagomål/A 60509-2025 FSC-klagomål.docx", "A 60509-2025")</f>
        <v/>
      </c>
      <c r="Z28">
        <f>HYPERLINK("https://klasma.github.io/Logging_0665/klagomålsmail/A 60509-2025 FSC-klagomål mail.docx", "A 60509-2025")</f>
        <v/>
      </c>
      <c r="AA28">
        <f>HYPERLINK("https://klasma.github.io/Logging_0665/tillsyn/A 60509-2025 tillsynsbegäran.docx", "A 60509-2025")</f>
        <v/>
      </c>
      <c r="AB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46221</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s="2" t="inlineStr">
        <is>
          <t>Stenporella</t>
        </is>
      </c>
      <c r="V29">
        <f>HYPERLINK("https://klasma.github.io/Logging_0665/artfynd/A 1420-2026 artfynd.xlsx", "A 1420-2026")</f>
        <v/>
      </c>
      <c r="W29">
        <f>HYPERLINK("https://klasma.github.io/Logging_0665/kartor/A 1420-2026 karta.png", "A 1420-2026")</f>
        <v/>
      </c>
      <c r="Y29">
        <f>HYPERLINK("https://klasma.github.io/Logging_0665/klagomål/A 1420-2026 FSC-klagomål.docx", "A 1420-2026")</f>
        <v/>
      </c>
      <c r="Z29">
        <f>HYPERLINK("https://klasma.github.io/Logging_0665/klagomålsmail/A 1420-2026 FSC-klagomål mail.docx", "A 1420-2026")</f>
        <v/>
      </c>
      <c r="AA29">
        <f>HYPERLINK("https://klasma.github.io/Logging_0665/tillsyn/A 1420-2026 tillsynsbegäran.docx", "A 1420-2026")</f>
        <v/>
      </c>
      <c r="AB29">
        <f>HYPERLINK("https://klasma.github.io/Logging_0665/tillsynsmail/A 1420-2026 tillsynsbegäran mail.docx", "A 1420-2026")</f>
        <v/>
      </c>
    </row>
    <row r="30" ht="15" customHeight="1">
      <c r="A30" t="inlineStr">
        <is>
          <t>A 13684-2022</t>
        </is>
      </c>
      <c r="B30" t="inlineStr">
        <is>
          <t>avverkningsanmälan</t>
        </is>
      </c>
      <c r="C30" t="inlineStr">
        <is>
          <t>Föryngringsavverkning</t>
        </is>
      </c>
      <c r="D30" s="1" t="n">
        <v>44648</v>
      </c>
      <c r="E30" s="1" t="n">
        <v>46221</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s="2" t="inlineStr">
        <is>
          <t>Jungfrulin</t>
        </is>
      </c>
      <c r="V30">
        <f>HYPERLINK("https://klasma.github.io/Logging_0665/artfynd/A 13684-2022 artfynd.xlsx", "A 13684-2022")</f>
        <v/>
      </c>
      <c r="W30">
        <f>HYPERLINK("https://klasma.github.io/Logging_0665/kartor/A 13684-2022 karta.png", "A 13684-2022")</f>
        <v/>
      </c>
      <c r="Y30">
        <f>HYPERLINK("https://klasma.github.io/Logging_0665/klagomål/A 13684-2022 FSC-klagomål.docx", "A 13684-2022")</f>
        <v/>
      </c>
      <c r="Z30">
        <f>HYPERLINK("https://klasma.github.io/Logging_0665/klagomålsmail/A 13684-2022 FSC-klagomål mail.docx", "A 13684-2022")</f>
        <v/>
      </c>
      <c r="AA30">
        <f>HYPERLINK("https://klasma.github.io/Logging_0665/tillsyn/A 13684-2022 tillsynsbegäran.docx", "A 13684-2022")</f>
        <v/>
      </c>
      <c r="AB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46221</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s="2" t="inlineStr">
        <is>
          <t>Revlummer</t>
        </is>
      </c>
      <c r="V31">
        <f>HYPERLINK("https://klasma.github.io/Logging_0665/artfynd/A 43652-2023 artfynd.xlsx", "A 43652-2023")</f>
        <v/>
      </c>
      <c r="W31">
        <f>HYPERLINK("https://klasma.github.io/Logging_0665/kartor/A 43652-2023 karta.png", "A 43652-2023")</f>
        <v/>
      </c>
      <c r="Y31">
        <f>HYPERLINK("https://klasma.github.io/Logging_0665/klagomål/A 43652-2023 FSC-klagomål.docx", "A 43652-2023")</f>
        <v/>
      </c>
      <c r="Z31">
        <f>HYPERLINK("https://klasma.github.io/Logging_0665/klagomålsmail/A 43652-2023 FSC-klagomål mail.docx", "A 43652-2023")</f>
        <v/>
      </c>
      <c r="AA31">
        <f>HYPERLINK("https://klasma.github.io/Logging_0665/tillsyn/A 43652-2023 tillsynsbegäran.docx", "A 43652-2023")</f>
        <v/>
      </c>
      <c r="AB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46221</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s="2" t="inlineStr">
        <is>
          <t>Blåsippa</t>
        </is>
      </c>
      <c r="V32">
        <f>HYPERLINK("https://klasma.github.io/Logging_0665/artfynd/A 43654-2023 artfynd.xlsx", "A 43654-2023")</f>
        <v/>
      </c>
      <c r="W32">
        <f>HYPERLINK("https://klasma.github.io/Logging_0665/kartor/A 43654-2023 karta.png", "A 43654-2023")</f>
        <v/>
      </c>
      <c r="Y32">
        <f>HYPERLINK("https://klasma.github.io/Logging_0665/klagomål/A 43654-2023 FSC-klagomål.docx", "A 43654-2023")</f>
        <v/>
      </c>
      <c r="Z32">
        <f>HYPERLINK("https://klasma.github.io/Logging_0665/klagomålsmail/A 43654-2023 FSC-klagomål mail.docx", "A 43654-2023")</f>
        <v/>
      </c>
      <c r="AA32">
        <f>HYPERLINK("https://klasma.github.io/Logging_0665/tillsyn/A 43654-2023 tillsynsbegäran.docx", "A 43654-2023")</f>
        <v/>
      </c>
      <c r="AB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46221</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s="2" t="inlineStr">
        <is>
          <t>Hasselmus</t>
        </is>
      </c>
      <c r="V33">
        <f>HYPERLINK("https://klasma.github.io/Logging_0665/artfynd/A 45203-2021 artfynd.xlsx", "A 45203-2021")</f>
        <v/>
      </c>
      <c r="W33">
        <f>HYPERLINK("https://klasma.github.io/Logging_0665/kartor/A 45203-2021 karta.png", "A 45203-2021")</f>
        <v/>
      </c>
      <c r="Y33">
        <f>HYPERLINK("https://klasma.github.io/Logging_0665/klagomål/A 45203-2021 FSC-klagomål.docx", "A 45203-2021")</f>
        <v/>
      </c>
      <c r="Z33">
        <f>HYPERLINK("https://klasma.github.io/Logging_0665/klagomålsmail/A 45203-2021 FSC-klagomål mail.docx", "A 45203-2021")</f>
        <v/>
      </c>
      <c r="AA33">
        <f>HYPERLINK("https://klasma.github.io/Logging_0665/tillsyn/A 45203-2021 tillsynsbegäran.docx", "A 45203-2021")</f>
        <v/>
      </c>
      <c r="AB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46221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s="2" t="inlineStr">
        <is>
          <t>Slåttergubbe</t>
        </is>
      </c>
      <c r="V34">
        <f>HYPERLINK("https://klasma.github.io/Logging_0665/artfynd/S 76-2022 artfynd.xlsx", "S 76-2022")</f>
        <v/>
      </c>
      <c r="W34">
        <f>HYPERLINK("https://klasma.github.io/Logging_0665/kartor/S 76-2022 karta.png", "S 76-2022")</f>
        <v/>
      </c>
      <c r="Y34">
        <f>HYPERLINK("https://klasma.github.io/Logging_0665/klagomål/S 76-2022 FSC-klagomål.docx", "S 76-2022")</f>
        <v/>
      </c>
      <c r="Z34">
        <f>HYPERLINK("https://klasma.github.io/Logging_0665/klagomålsmail/S 76-2022 FSC-klagomål mail.docx", "S 76-2022")</f>
        <v/>
      </c>
      <c r="AA34">
        <f>HYPERLINK("https://klasma.github.io/Logging_0665/tillsyn/S 76-2022 tillsynsbegäran.docx", "S 76-2022")</f>
        <v/>
      </c>
      <c r="AB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46221</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s="2" t="inlineStr">
        <is>
          <t>Hasselmus</t>
        </is>
      </c>
      <c r="V35">
        <f>HYPERLINK("https://klasma.github.io/Logging_0665/artfynd/S 271-2023 artfynd.xlsx", "S 271-2023")</f>
        <v/>
      </c>
      <c r="W35">
        <f>HYPERLINK("https://klasma.github.io/Logging_0665/kartor/S 271-2023 karta.png", "S 271-2023")</f>
        <v/>
      </c>
      <c r="Y35">
        <f>HYPERLINK("https://klasma.github.io/Logging_0665/klagomål/S 271-2023 FSC-klagomål.docx", "S 271-2023")</f>
        <v/>
      </c>
      <c r="Z35">
        <f>HYPERLINK("https://klasma.github.io/Logging_0665/klagomålsmail/S 271-2023 FSC-klagomål mail.docx", "S 271-2023")</f>
        <v/>
      </c>
      <c r="AA35">
        <f>HYPERLINK("https://klasma.github.io/Logging_0665/tillsyn/S 271-2023 tillsynsbegäran.docx", "S 271-2023")</f>
        <v/>
      </c>
      <c r="AB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46221</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Y36">
        <f>HYPERLINK("https://klasma.github.io/Logging_0665/klagomål/S 502-2023 FSC-klagomål.docx", "S 502-2023")</f>
        <v/>
      </c>
      <c r="Z36">
        <f>HYPERLINK("https://klasma.github.io/Logging_0665/klagomålsmail/S 502-2023 FSC-klagomål mail.docx", "S 502-2023")</f>
        <v/>
      </c>
      <c r="AA36">
        <f>HYPERLINK("https://klasma.github.io/Logging_0665/tillsyn/S 502-2023 tillsynsbegäran.docx", "S 502-2023")</f>
        <v/>
      </c>
      <c r="AB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46221</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Y37">
        <f>HYPERLINK("https://klasma.github.io/Logging_0665/klagomål/S 969-2025 FSC-klagomål.docx", "S 969-2025")</f>
        <v/>
      </c>
      <c r="Z37">
        <f>HYPERLINK("https://klasma.github.io/Logging_0665/klagomålsmail/S 969-2025 FSC-klagomål mail.docx", "S 969-2025")</f>
        <v/>
      </c>
      <c r="AA37">
        <f>HYPERLINK("https://klasma.github.io/Logging_0665/tillsyn/S 969-2025 tillsynsbegäran.docx", "S 969-2025")</f>
        <v/>
      </c>
      <c r="AB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46221</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Y38">
        <f>HYPERLINK("https://klasma.github.io/Logging_0665/klagomål/S 56-2026 FSC-klagomål.docx", "S 56-2026")</f>
        <v/>
      </c>
      <c r="Z38">
        <f>HYPERLINK("https://klasma.github.io/Logging_0665/klagomålsmail/S 56-2026 FSC-klagomål mail.docx", "S 56-2026")</f>
        <v/>
      </c>
      <c r="AA38">
        <f>HYPERLINK("https://klasma.github.io/Logging_0665/tillsyn/S 56-2026 tillsynsbegäran.docx", "S 56-2026")</f>
        <v/>
      </c>
      <c r="AB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46221</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s="2" t="inlineStr"/>
    </row>
    <row r="40" ht="15" customHeight="1">
      <c r="A40" t="inlineStr">
        <is>
          <t>A 14029-2022</t>
        </is>
      </c>
      <c r="B40" t="inlineStr">
        <is>
          <t>avverkningsanmälan</t>
        </is>
      </c>
      <c r="C40" t="inlineStr">
        <is>
          <t>Avverkning för annat ändamål</t>
        </is>
      </c>
      <c r="D40" s="1" t="n">
        <v>44650</v>
      </c>
      <c r="E40" s="1" t="n">
        <v>46221</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46221</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46221</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46221</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46221</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46221</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46221</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46221</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57696-2021</t>
        </is>
      </c>
      <c r="B48" t="inlineStr">
        <is>
          <t>avverkningsanmälan</t>
        </is>
      </c>
      <c r="C48" t="inlineStr">
        <is>
          <t>Avverkning för att bevara och utveckla /försöksver</t>
        </is>
      </c>
      <c r="D48" s="1" t="n">
        <v>44484</v>
      </c>
      <c r="E48" s="1" t="n">
        <v>46221</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56371-2021</t>
        </is>
      </c>
      <c r="B49" t="inlineStr">
        <is>
          <t>avverkningsanmälan</t>
        </is>
      </c>
      <c r="C49" t="inlineStr">
        <is>
          <t>Föryngringsavverkning</t>
        </is>
      </c>
      <c r="D49" s="1" t="n">
        <v>44480</v>
      </c>
      <c r="E49" s="1" t="n">
        <v>46221</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s="2" t="inlineStr"/>
    </row>
    <row r="50" ht="15" customHeight="1">
      <c r="A50" t="inlineStr">
        <is>
          <t>A 52907-2021</t>
        </is>
      </c>
      <c r="B50" t="inlineStr">
        <is>
          <t>avverkningsanmälan</t>
        </is>
      </c>
      <c r="C50" t="inlineStr">
        <is>
          <t>Föryngringsavverkning</t>
        </is>
      </c>
      <c r="D50" s="1" t="n">
        <v>44467</v>
      </c>
      <c r="E50" s="1" t="n">
        <v>46221</v>
      </c>
      <c r="F50" t="inlineStr">
        <is>
          <t>JÖNKÖPINGS LÄN</t>
        </is>
      </c>
      <c r="G50" t="inlineStr">
        <is>
          <t>VAGGERYD</t>
        </is>
      </c>
      <c r="I50" t="n">
        <v>1.2</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46221</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46221</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46221</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46221</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46221</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52383-2021</t>
        </is>
      </c>
      <c r="B56" t="inlineStr">
        <is>
          <t>avverkningsanmälan</t>
        </is>
      </c>
      <c r="C56" t="inlineStr">
        <is>
          <t>Föryngringsavverkning</t>
        </is>
      </c>
      <c r="D56" s="1" t="n">
        <v>44465</v>
      </c>
      <c r="E56" s="1" t="n">
        <v>46221</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s="2" t="inlineStr"/>
    </row>
    <row r="57" ht="15" customHeight="1">
      <c r="A57" t="inlineStr">
        <is>
          <t>A 49153-2021</t>
        </is>
      </c>
      <c r="B57" t="inlineStr">
        <is>
          <t>avverkningsanmälan</t>
        </is>
      </c>
      <c r="C57" t="inlineStr">
        <is>
          <t>Föryngringsavverkning</t>
        </is>
      </c>
      <c r="D57" s="1" t="n">
        <v>44453</v>
      </c>
      <c r="E57" s="1" t="n">
        <v>46221</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46221</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73123-2021</t>
        </is>
      </c>
      <c r="B59" t="inlineStr">
        <is>
          <t>avverkningsanmälan</t>
        </is>
      </c>
      <c r="C59" t="inlineStr">
        <is>
          <t>Föryngringsavverkning</t>
        </is>
      </c>
      <c r="D59" s="1" t="n">
        <v>44550</v>
      </c>
      <c r="E59" s="1" t="n">
        <v>46221</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s="2" t="inlineStr"/>
    </row>
    <row r="60" ht="15" customHeight="1">
      <c r="A60" t="inlineStr">
        <is>
          <t>A 11596-2022</t>
        </is>
      </c>
      <c r="B60" t="inlineStr">
        <is>
          <t>avverkningsanmälan</t>
        </is>
      </c>
      <c r="C60" t="inlineStr">
        <is>
          <t>Föryngringsavverkning</t>
        </is>
      </c>
      <c r="D60" s="1" t="n">
        <v>44631</v>
      </c>
      <c r="E60" s="1" t="n">
        <v>46221</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s="2" t="inlineStr"/>
    </row>
    <row r="61" ht="15" customHeight="1">
      <c r="A61" t="inlineStr">
        <is>
          <t>A 11637-2022</t>
        </is>
      </c>
      <c r="B61" t="inlineStr">
        <is>
          <t>avverkningsanmälan</t>
        </is>
      </c>
      <c r="C61" t="inlineStr">
        <is>
          <t>Föryngringsavverkning</t>
        </is>
      </c>
      <c r="D61" s="1" t="n">
        <v>44631</v>
      </c>
      <c r="E61" s="1" t="n">
        <v>46221</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s="2" t="inlineStr"/>
    </row>
    <row r="62" ht="15" customHeight="1">
      <c r="A62" t="inlineStr">
        <is>
          <t>A 8820-2022</t>
        </is>
      </c>
      <c r="B62" t="inlineStr">
        <is>
          <t>avverkningsanmälan</t>
        </is>
      </c>
      <c r="C62" t="inlineStr">
        <is>
          <t>Föryngringsavverkning</t>
        </is>
      </c>
      <c r="D62" s="1" t="n">
        <v>44614</v>
      </c>
      <c r="E62" s="1" t="n">
        <v>46221</v>
      </c>
      <c r="F62" t="inlineStr">
        <is>
          <t>JÖNKÖPINGS LÄN</t>
        </is>
      </c>
      <c r="G62" t="inlineStr">
        <is>
          <t>VAGGERYD</t>
        </is>
      </c>
      <c r="I62" t="n">
        <v>1.9</v>
      </c>
      <c r="J62" t="n">
        <v>0</v>
      </c>
      <c r="K62" t="n">
        <v>0</v>
      </c>
      <c r="L62" t="n">
        <v>0</v>
      </c>
      <c r="M62" t="n">
        <v>0</v>
      </c>
      <c r="N62" t="n">
        <v>0</v>
      </c>
      <c r="O62" t="n">
        <v>0</v>
      </c>
      <c r="P62" t="n">
        <v>0</v>
      </c>
      <c r="Q62" t="n">
        <v>0</v>
      </c>
      <c r="R62" t="n">
        <v>0</v>
      </c>
      <c r="S62" t="n">
        <v>0</v>
      </c>
      <c r="T62" t="n">
        <v>0</v>
      </c>
      <c r="U62" s="2" t="inlineStr"/>
    </row>
    <row r="63" ht="15" customHeight="1">
      <c r="A63" t="inlineStr">
        <is>
          <t>A 73189-2021</t>
        </is>
      </c>
      <c r="B63" t="inlineStr">
        <is>
          <t>avverkningsanmälan</t>
        </is>
      </c>
      <c r="C63" t="inlineStr">
        <is>
          <t>Avverkning för att bevara och utveckla /försöksver</t>
        </is>
      </c>
      <c r="D63" s="1" t="n">
        <v>44550</v>
      </c>
      <c r="E63" s="1" t="n">
        <v>46221</v>
      </c>
      <c r="F63" t="inlineStr">
        <is>
          <t>JÖNKÖPINGS LÄN</t>
        </is>
      </c>
      <c r="G63" t="inlineStr">
        <is>
          <t>VAGGERYD</t>
        </is>
      </c>
      <c r="H63" t="inlineStr">
        <is>
          <t>Sveaskog</t>
        </is>
      </c>
      <c r="I63" t="n">
        <v>1.1</v>
      </c>
      <c r="J63" t="n">
        <v>0</v>
      </c>
      <c r="K63" t="n">
        <v>0</v>
      </c>
      <c r="L63" t="n">
        <v>0</v>
      </c>
      <c r="M63" t="n">
        <v>0</v>
      </c>
      <c r="N63" t="n">
        <v>0</v>
      </c>
      <c r="O63" t="n">
        <v>0</v>
      </c>
      <c r="P63" t="n">
        <v>0</v>
      </c>
      <c r="Q63" t="n">
        <v>0</v>
      </c>
      <c r="R63" t="n">
        <v>0</v>
      </c>
      <c r="S63" t="n">
        <v>0</v>
      </c>
      <c r="T63" t="n">
        <v>0</v>
      </c>
      <c r="U63" s="2" t="inlineStr"/>
    </row>
    <row r="64" ht="15" customHeight="1">
      <c r="A64" t="inlineStr">
        <is>
          <t>A 67908-2021</t>
        </is>
      </c>
      <c r="B64" t="inlineStr">
        <is>
          <t>avverkningsanmälan</t>
        </is>
      </c>
      <c r="C64" t="inlineStr">
        <is>
          <t>Föryngringsavverkning</t>
        </is>
      </c>
      <c r="D64" s="1" t="n">
        <v>44525</v>
      </c>
      <c r="E64" s="1" t="n">
        <v>46221</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s="2" t="inlineStr"/>
    </row>
    <row r="65" ht="15" customHeight="1">
      <c r="A65" t="inlineStr">
        <is>
          <t>A 52899-2021</t>
        </is>
      </c>
      <c r="B65" t="inlineStr">
        <is>
          <t>avverkningsanmälan</t>
        </is>
      </c>
      <c r="C65" t="inlineStr">
        <is>
          <t>Föryngringsavverkning</t>
        </is>
      </c>
      <c r="D65" s="1" t="n">
        <v>44467</v>
      </c>
      <c r="E65" s="1" t="n">
        <v>46221</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s="2" t="inlineStr"/>
    </row>
    <row r="66" ht="15" customHeight="1">
      <c r="A66" t="inlineStr">
        <is>
          <t>A 70446-2021</t>
        </is>
      </c>
      <c r="B66" t="inlineStr">
        <is>
          <t>avverkningsanmälan</t>
        </is>
      </c>
      <c r="C66" t="inlineStr">
        <is>
          <t>Föryngringsavverkning</t>
        </is>
      </c>
      <c r="D66" s="1" t="n">
        <v>44536</v>
      </c>
      <c r="E66" s="1" t="n">
        <v>46221</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s="2" t="inlineStr"/>
    </row>
    <row r="67" ht="15" customHeight="1">
      <c r="A67" t="inlineStr">
        <is>
          <t>A 38946-2022</t>
        </is>
      </c>
      <c r="B67" t="inlineStr">
        <is>
          <t>avverkningsanmälan</t>
        </is>
      </c>
      <c r="C67" t="inlineStr">
        <is>
          <t>Föryngringsavverkning</t>
        </is>
      </c>
      <c r="D67" s="1" t="n">
        <v>44816</v>
      </c>
      <c r="E67" s="1" t="n">
        <v>46221</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s="2" t="inlineStr"/>
    </row>
    <row r="68" ht="15" customHeight="1">
      <c r="A68" t="inlineStr">
        <is>
          <t>A 73108-2021</t>
        </is>
      </c>
      <c r="B68" t="inlineStr">
        <is>
          <t>avverkningsanmälan</t>
        </is>
      </c>
      <c r="C68" t="inlineStr">
        <is>
          <t>Avverkning för att bevara och utveckla /försöksver</t>
        </is>
      </c>
      <c r="D68" s="1" t="n">
        <v>44550</v>
      </c>
      <c r="E68" s="1" t="n">
        <v>46221</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s="2" t="inlineStr"/>
    </row>
    <row r="69" ht="15" customHeight="1">
      <c r="A69" t="inlineStr">
        <is>
          <t>A 50014-2022</t>
        </is>
      </c>
      <c r="B69" t="inlineStr">
        <is>
          <t>avverkningsanmälan</t>
        </is>
      </c>
      <c r="C69" t="inlineStr">
        <is>
          <t>Föryngringsavverkning</t>
        </is>
      </c>
      <c r="D69" s="1" t="n">
        <v>44865</v>
      </c>
      <c r="E69" s="1" t="n">
        <v>46221</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s="2" t="inlineStr"/>
    </row>
    <row r="70" ht="15" customHeight="1">
      <c r="A70" t="inlineStr">
        <is>
          <t>A 53570-2022</t>
        </is>
      </c>
      <c r="B70" t="inlineStr">
        <is>
          <t>avverkningsanmälan</t>
        </is>
      </c>
      <c r="C70" t="inlineStr">
        <is>
          <t>Föryngringsavverkning</t>
        </is>
      </c>
      <c r="D70" s="1" t="n">
        <v>44879</v>
      </c>
      <c r="E70" s="1" t="n">
        <v>46221</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s="2" t="inlineStr"/>
    </row>
    <row r="71" ht="15" customHeight="1">
      <c r="A71" t="inlineStr">
        <is>
          <t>A 64065-2021</t>
        </is>
      </c>
      <c r="B71" t="inlineStr">
        <is>
          <t>avverkningsanmälan</t>
        </is>
      </c>
      <c r="C71" t="inlineStr">
        <is>
          <t>Föryngringsavverkning</t>
        </is>
      </c>
      <c r="D71" s="1" t="n">
        <v>44510</v>
      </c>
      <c r="E71" s="1" t="n">
        <v>46221</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s="2" t="inlineStr"/>
    </row>
    <row r="72" ht="15" customHeight="1">
      <c r="A72" t="inlineStr">
        <is>
          <t>A 64069-2021</t>
        </is>
      </c>
      <c r="B72" t="inlineStr">
        <is>
          <t>avverkningsanmälan</t>
        </is>
      </c>
      <c r="C72" t="inlineStr">
        <is>
          <t>Föryngringsavverkning</t>
        </is>
      </c>
      <c r="D72" s="1" t="n">
        <v>44510</v>
      </c>
      <c r="E72" s="1" t="n">
        <v>46221</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s="2" t="inlineStr"/>
    </row>
    <row r="73" ht="15" customHeight="1">
      <c r="A73" t="inlineStr">
        <is>
          <t>A 17672-2022</t>
        </is>
      </c>
      <c r="B73" t="inlineStr">
        <is>
          <t>avverkningsanmälan</t>
        </is>
      </c>
      <c r="C73" t="inlineStr">
        <is>
          <t>Föryngringsavverkning</t>
        </is>
      </c>
      <c r="D73" s="1" t="n">
        <v>44680</v>
      </c>
      <c r="E73" s="1" t="n">
        <v>46221</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s="2" t="inlineStr"/>
    </row>
    <row r="74" ht="15" customHeight="1">
      <c r="A74" t="inlineStr">
        <is>
          <t>A 2322-2022</t>
        </is>
      </c>
      <c r="B74" t="inlineStr">
        <is>
          <t>avverkningsanmälan</t>
        </is>
      </c>
      <c r="C74" t="inlineStr">
        <is>
          <t>Föryngringsavverkning</t>
        </is>
      </c>
      <c r="D74" s="1" t="n">
        <v>44578</v>
      </c>
      <c r="E74" s="1" t="n">
        <v>46221</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s="2" t="inlineStr"/>
    </row>
    <row r="75" ht="15" customHeight="1">
      <c r="A75" t="inlineStr">
        <is>
          <t>A 36138-2022</t>
        </is>
      </c>
      <c r="B75" t="inlineStr">
        <is>
          <t>avverkningsanmälan</t>
        </is>
      </c>
      <c r="C75" t="inlineStr">
        <is>
          <t>Föryngringsavverkning</t>
        </is>
      </c>
      <c r="D75" s="1" t="n">
        <v>44803</v>
      </c>
      <c r="E75" s="1" t="n">
        <v>46221</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s="2" t="inlineStr"/>
    </row>
    <row r="76" ht="15" customHeight="1">
      <c r="A76" t="inlineStr">
        <is>
          <t>A 48777-2021</t>
        </is>
      </c>
      <c r="B76" t="inlineStr">
        <is>
          <t>avverkningsanmälan</t>
        </is>
      </c>
      <c r="C76" t="inlineStr">
        <is>
          <t>Föryngringsavverkning</t>
        </is>
      </c>
      <c r="D76" s="1" t="n">
        <v>44452</v>
      </c>
      <c r="E76" s="1" t="n">
        <v>46221</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s="2" t="inlineStr"/>
    </row>
    <row r="77" ht="15" customHeight="1">
      <c r="A77" t="inlineStr">
        <is>
          <t>A 13675-2022</t>
        </is>
      </c>
      <c r="B77" t="inlineStr">
        <is>
          <t>avverkningsanmälan</t>
        </is>
      </c>
      <c r="C77" t="inlineStr">
        <is>
          <t>Föryngringsavverkning</t>
        </is>
      </c>
      <c r="D77" s="1" t="n">
        <v>44648</v>
      </c>
      <c r="E77" s="1" t="n">
        <v>46221</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s="2" t="inlineStr"/>
    </row>
    <row r="78" ht="15" customHeight="1">
      <c r="A78" t="inlineStr">
        <is>
          <t>A 53697-2022</t>
        </is>
      </c>
      <c r="B78" t="inlineStr">
        <is>
          <t>avverkningsanmälan</t>
        </is>
      </c>
      <c r="C78" t="inlineStr">
        <is>
          <t>Föryngringsavverkning</t>
        </is>
      </c>
      <c r="D78" s="1" t="n">
        <v>44880</v>
      </c>
      <c r="E78" s="1" t="n">
        <v>46221</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s="2" t="inlineStr"/>
    </row>
    <row r="79" ht="15" customHeight="1">
      <c r="A79" t="inlineStr">
        <is>
          <t>A 53697-2021</t>
        </is>
      </c>
      <c r="B79" t="inlineStr">
        <is>
          <t>avverkningsanmälan</t>
        </is>
      </c>
      <c r="C79" t="inlineStr">
        <is>
          <t>Avverkning för annat ändamål</t>
        </is>
      </c>
      <c r="D79" s="1" t="n">
        <v>44469</v>
      </c>
      <c r="E79" s="1" t="n">
        <v>46221</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s="2" t="inlineStr"/>
    </row>
    <row r="80" ht="15" customHeight="1">
      <c r="A80" t="inlineStr">
        <is>
          <t>A 49152-2021</t>
        </is>
      </c>
      <c r="B80" t="inlineStr">
        <is>
          <t>avverkningsanmälan</t>
        </is>
      </c>
      <c r="C80" t="inlineStr">
        <is>
          <t>Föryngringsavverkning</t>
        </is>
      </c>
      <c r="D80" s="1" t="n">
        <v>44453</v>
      </c>
      <c r="E80" s="1" t="n">
        <v>46221</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s="2" t="inlineStr"/>
    </row>
    <row r="81" ht="15" customHeight="1">
      <c r="A81" t="inlineStr">
        <is>
          <t>A 49133-2021</t>
        </is>
      </c>
      <c r="B81" t="inlineStr">
        <is>
          <t>avverkningsanmälan</t>
        </is>
      </c>
      <c r="C81" t="inlineStr">
        <is>
          <t>Föryngringsavverkning</t>
        </is>
      </c>
      <c r="D81" s="1" t="n">
        <v>44453</v>
      </c>
      <c r="E81" s="1" t="n">
        <v>46221</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s="2" t="inlineStr"/>
    </row>
    <row r="82" ht="15" customHeight="1">
      <c r="A82" t="inlineStr">
        <is>
          <t>A 49130-2021</t>
        </is>
      </c>
      <c r="B82" t="inlineStr">
        <is>
          <t>avverkningsanmälan</t>
        </is>
      </c>
      <c r="C82" t="inlineStr">
        <is>
          <t>Föryngringsavverkning</t>
        </is>
      </c>
      <c r="D82" s="1" t="n">
        <v>44453</v>
      </c>
      <c r="E82" s="1" t="n">
        <v>46221</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s="2" t="inlineStr"/>
    </row>
    <row r="83" ht="15" customHeight="1">
      <c r="A83" t="inlineStr">
        <is>
          <t>A 49131-2021</t>
        </is>
      </c>
      <c r="B83" t="inlineStr">
        <is>
          <t>avverkningsanmälan</t>
        </is>
      </c>
      <c r="C83" t="inlineStr">
        <is>
          <t>Föryngringsavverkning</t>
        </is>
      </c>
      <c r="D83" s="1" t="n">
        <v>44453</v>
      </c>
      <c r="E83" s="1" t="n">
        <v>46221</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s="2" t="inlineStr"/>
    </row>
    <row r="84" ht="15" customHeight="1">
      <c r="A84" t="inlineStr">
        <is>
          <t>A 59040-2021</t>
        </is>
      </c>
      <c r="B84" t="inlineStr">
        <is>
          <t>avverkningsanmälan</t>
        </is>
      </c>
      <c r="C84" t="inlineStr">
        <is>
          <t>Föryngringsavverkning</t>
        </is>
      </c>
      <c r="D84" s="1" t="n">
        <v>44490</v>
      </c>
      <c r="E84" s="1" t="n">
        <v>46221</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s="2" t="inlineStr"/>
    </row>
    <row r="85" ht="15" customHeight="1">
      <c r="A85" t="inlineStr">
        <is>
          <t>A 70240-2021</t>
        </is>
      </c>
      <c r="B85" t="inlineStr">
        <is>
          <t>avverkningsanmälan</t>
        </is>
      </c>
      <c r="C85" t="inlineStr">
        <is>
          <t>Föryngringsavverkning</t>
        </is>
      </c>
      <c r="D85" s="1" t="n">
        <v>44536</v>
      </c>
      <c r="E85" s="1" t="n">
        <v>46221</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s="2" t="inlineStr"/>
    </row>
    <row r="86" ht="15" customHeight="1">
      <c r="A86" t="inlineStr">
        <is>
          <t>A 35450-2022</t>
        </is>
      </c>
      <c r="B86" t="inlineStr">
        <is>
          <t>avverkningsanmälan</t>
        </is>
      </c>
      <c r="C86" t="inlineStr">
        <is>
          <t>Föryngringsavverkning</t>
        </is>
      </c>
      <c r="D86" s="1" t="n">
        <v>44798</v>
      </c>
      <c r="E86" s="1" t="n">
        <v>46221</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s="2" t="inlineStr"/>
    </row>
    <row r="87" ht="15" customHeight="1">
      <c r="A87" t="inlineStr">
        <is>
          <t>A 20056-2024</t>
        </is>
      </c>
      <c r="B87" t="inlineStr">
        <is>
          <t>avverkningsanmälan</t>
        </is>
      </c>
      <c r="C87" t="inlineStr">
        <is>
          <t>Föryngringsavverkning</t>
        </is>
      </c>
      <c r="D87" s="1" t="n">
        <v>45434</v>
      </c>
      <c r="E87" s="1" t="n">
        <v>46221</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s="2" t="inlineStr"/>
    </row>
    <row r="88" ht="15" customHeight="1">
      <c r="A88" t="inlineStr">
        <is>
          <t>A 11103-2024</t>
        </is>
      </c>
      <c r="B88" t="inlineStr">
        <is>
          <t>avverkningsanmälan</t>
        </is>
      </c>
      <c r="C88" t="inlineStr">
        <is>
          <t>Avverkning för annat ändamål</t>
        </is>
      </c>
      <c r="D88" s="1" t="n">
        <v>45371</v>
      </c>
      <c r="E88" s="1" t="n">
        <v>46221</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s="2" t="inlineStr"/>
    </row>
    <row r="89" ht="15" customHeight="1">
      <c r="A89" t="inlineStr">
        <is>
          <t>A 11105-2024</t>
        </is>
      </c>
      <c r="B89" t="inlineStr">
        <is>
          <t>avverkningsanmälan</t>
        </is>
      </c>
      <c r="C89" t="inlineStr">
        <is>
          <t>Föryngringsavverkning</t>
        </is>
      </c>
      <c r="D89" s="1" t="n">
        <v>45371</v>
      </c>
      <c r="E89" s="1" t="n">
        <v>46221</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s="2" t="inlineStr"/>
    </row>
    <row r="90" ht="15" customHeight="1">
      <c r="A90" t="inlineStr">
        <is>
          <t>A 766-2024</t>
        </is>
      </c>
      <c r="B90" t="inlineStr">
        <is>
          <t>avverkningsanmälan</t>
        </is>
      </c>
      <c r="C90" t="inlineStr">
        <is>
          <t>Föryngringsavverkning</t>
        </is>
      </c>
      <c r="D90" s="1" t="n">
        <v>45300</v>
      </c>
      <c r="E90" s="1" t="n">
        <v>46221</v>
      </c>
      <c r="F90" t="inlineStr">
        <is>
          <t>JÖNKÖPINGS LÄN</t>
        </is>
      </c>
      <c r="G90" t="inlineStr">
        <is>
          <t>VAGGERYD</t>
        </is>
      </c>
      <c r="I90" t="n">
        <v>2.8</v>
      </c>
      <c r="J90" t="n">
        <v>0</v>
      </c>
      <c r="K90" t="n">
        <v>0</v>
      </c>
      <c r="L90" t="n">
        <v>0</v>
      </c>
      <c r="M90" t="n">
        <v>0</v>
      </c>
      <c r="N90" t="n">
        <v>0</v>
      </c>
      <c r="O90" t="n">
        <v>0</v>
      </c>
      <c r="P90" t="n">
        <v>0</v>
      </c>
      <c r="Q90" t="n">
        <v>0</v>
      </c>
      <c r="R90" t="n">
        <v>0</v>
      </c>
      <c r="S90" t="n">
        <v>0</v>
      </c>
      <c r="T90" t="n">
        <v>0</v>
      </c>
      <c r="U90" s="2" t="inlineStr"/>
    </row>
    <row r="91" ht="15" customHeight="1">
      <c r="A91" t="inlineStr">
        <is>
          <t>A 58928-2023</t>
        </is>
      </c>
      <c r="B91" t="inlineStr">
        <is>
          <t>avverkningsanmälan</t>
        </is>
      </c>
      <c r="C91" t="inlineStr">
        <is>
          <t>Föryngringsavverkning</t>
        </is>
      </c>
      <c r="D91" s="1" t="n">
        <v>45252</v>
      </c>
      <c r="E91" s="1" t="n">
        <v>46221</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s="2" t="inlineStr"/>
    </row>
    <row r="92" ht="15" customHeight="1">
      <c r="A92" t="inlineStr">
        <is>
          <t>A 15946-2025</t>
        </is>
      </c>
      <c r="B92" t="inlineStr">
        <is>
          <t>avverkningsanmälan</t>
        </is>
      </c>
      <c r="C92" t="inlineStr">
        <is>
          <t>Föryngringsavverkning</t>
        </is>
      </c>
      <c r="D92" s="1" t="n">
        <v>45749</v>
      </c>
      <c r="E92" s="1" t="n">
        <v>46221</v>
      </c>
      <c r="F92" t="inlineStr">
        <is>
          <t>JÖNKÖPINGS LÄN</t>
        </is>
      </c>
      <c r="G92" t="inlineStr">
        <is>
          <t>VAGGERYD</t>
        </is>
      </c>
      <c r="H92" t="inlineStr">
        <is>
          <t>Sveaskog</t>
        </is>
      </c>
      <c r="I92" t="n">
        <v>0.6</v>
      </c>
      <c r="J92" t="n">
        <v>0</v>
      </c>
      <c r="K92" t="n">
        <v>0</v>
      </c>
      <c r="L92" t="n">
        <v>0</v>
      </c>
      <c r="M92" t="n">
        <v>0</v>
      </c>
      <c r="N92" t="n">
        <v>0</v>
      </c>
      <c r="O92" t="n">
        <v>0</v>
      </c>
      <c r="P92" t="n">
        <v>0</v>
      </c>
      <c r="Q92" t="n">
        <v>0</v>
      </c>
      <c r="R92" t="n">
        <v>0</v>
      </c>
      <c r="S92" t="n">
        <v>0</v>
      </c>
      <c r="T92" t="n">
        <v>0</v>
      </c>
      <c r="U92" s="2" t="inlineStr"/>
    </row>
    <row r="93" ht="15" customHeight="1">
      <c r="A93" t="inlineStr">
        <is>
          <t>A 21410-2024</t>
        </is>
      </c>
      <c r="B93" t="inlineStr">
        <is>
          <t>avverkningsanmälan</t>
        </is>
      </c>
      <c r="C93" t="inlineStr">
        <is>
          <t>Föryngringsavverkning</t>
        </is>
      </c>
      <c r="D93" s="1" t="n">
        <v>45441</v>
      </c>
      <c r="E93" s="1" t="n">
        <v>46221</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s="2" t="inlineStr"/>
    </row>
    <row r="94" ht="15" customHeight="1">
      <c r="A94" t="inlineStr">
        <is>
          <t>A 60302-2022</t>
        </is>
      </c>
      <c r="B94" t="inlineStr">
        <is>
          <t>avverkningsanmälan</t>
        </is>
      </c>
      <c r="C94" t="inlineStr">
        <is>
          <t>Avverkning för att bevara och utveckla /försöksver</t>
        </is>
      </c>
      <c r="D94" s="1" t="n">
        <v>44910</v>
      </c>
      <c r="E94" s="1" t="n">
        <v>46221</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40532-2021</t>
        </is>
      </c>
      <c r="B95" t="inlineStr">
        <is>
          <t>avverkningsanmälan</t>
        </is>
      </c>
      <c r="C95" t="inlineStr">
        <is>
          <t>Föryngringsavverkning</t>
        </is>
      </c>
      <c r="D95" s="1" t="n">
        <v>44420</v>
      </c>
      <c r="E95" s="1" t="n">
        <v>46221</v>
      </c>
      <c r="F95" t="inlineStr">
        <is>
          <t>JÖNKÖPINGS LÄN</t>
        </is>
      </c>
      <c r="G95" t="inlineStr">
        <is>
          <t>VAGGERYD</t>
        </is>
      </c>
      <c r="I95" t="n">
        <v>6.2</v>
      </c>
      <c r="J95" t="n">
        <v>0</v>
      </c>
      <c r="K95" t="n">
        <v>0</v>
      </c>
      <c r="L95" t="n">
        <v>0</v>
      </c>
      <c r="M95" t="n">
        <v>0</v>
      </c>
      <c r="N95" t="n">
        <v>0</v>
      </c>
      <c r="O95" t="n">
        <v>0</v>
      </c>
      <c r="P95" t="n">
        <v>0</v>
      </c>
      <c r="Q95" t="n">
        <v>0</v>
      </c>
      <c r="R95" t="n">
        <v>0</v>
      </c>
      <c r="S95" t="n">
        <v>0</v>
      </c>
      <c r="T95" t="n">
        <v>0</v>
      </c>
      <c r="U95" s="2" t="inlineStr"/>
    </row>
    <row r="96" ht="15" customHeight="1">
      <c r="A96" t="inlineStr">
        <is>
          <t>A 25625-2024</t>
        </is>
      </c>
      <c r="B96" t="inlineStr">
        <is>
          <t>avverkningsanmälan</t>
        </is>
      </c>
      <c r="C96" t="inlineStr">
        <is>
          <t>Föryngringsavverkning</t>
        </is>
      </c>
      <c r="D96" s="1" t="n">
        <v>45463</v>
      </c>
      <c r="E96" s="1" t="n">
        <v>46221</v>
      </c>
      <c r="F96" t="inlineStr">
        <is>
          <t>JÖNKÖPINGS LÄN</t>
        </is>
      </c>
      <c r="G96" t="inlineStr">
        <is>
          <t>VAGGERYD</t>
        </is>
      </c>
      <c r="H96" t="inlineStr">
        <is>
          <t>Sveaskog</t>
        </is>
      </c>
      <c r="I96" t="n">
        <v>1.6</v>
      </c>
      <c r="J96" t="n">
        <v>0</v>
      </c>
      <c r="K96" t="n">
        <v>0</v>
      </c>
      <c r="L96" t="n">
        <v>0</v>
      </c>
      <c r="M96" t="n">
        <v>0</v>
      </c>
      <c r="N96" t="n">
        <v>0</v>
      </c>
      <c r="O96" t="n">
        <v>0</v>
      </c>
      <c r="P96" t="n">
        <v>0</v>
      </c>
      <c r="Q96" t="n">
        <v>0</v>
      </c>
      <c r="R96" t="n">
        <v>0</v>
      </c>
      <c r="S96" t="n">
        <v>0</v>
      </c>
      <c r="T96" t="n">
        <v>0</v>
      </c>
      <c r="U96" s="2" t="inlineStr"/>
    </row>
    <row r="97" ht="15" customHeight="1">
      <c r="A97" t="inlineStr">
        <is>
          <t>A 47873-2021</t>
        </is>
      </c>
      <c r="B97" t="inlineStr">
        <is>
          <t>avverkningsanmälan</t>
        </is>
      </c>
      <c r="C97" t="inlineStr">
        <is>
          <t>Föryngringsavverkning</t>
        </is>
      </c>
      <c r="D97" s="1" t="n">
        <v>44448</v>
      </c>
      <c r="E97" s="1" t="n">
        <v>46221</v>
      </c>
      <c r="F97" t="inlineStr">
        <is>
          <t>JÖNKÖPINGS LÄN</t>
        </is>
      </c>
      <c r="G97" t="inlineStr">
        <is>
          <t>VAGGERYD</t>
        </is>
      </c>
      <c r="I97" t="n">
        <v>1.4</v>
      </c>
      <c r="J97" t="n">
        <v>0</v>
      </c>
      <c r="K97" t="n">
        <v>0</v>
      </c>
      <c r="L97" t="n">
        <v>0</v>
      </c>
      <c r="M97" t="n">
        <v>0</v>
      </c>
      <c r="N97" t="n">
        <v>0</v>
      </c>
      <c r="O97" t="n">
        <v>0</v>
      </c>
      <c r="P97" t="n">
        <v>0</v>
      </c>
      <c r="Q97" t="n">
        <v>0</v>
      </c>
      <c r="R97" t="n">
        <v>0</v>
      </c>
      <c r="S97" t="n">
        <v>0</v>
      </c>
      <c r="T97" t="n">
        <v>0</v>
      </c>
      <c r="U97" s="2" t="inlineStr"/>
    </row>
    <row r="98" ht="15" customHeight="1">
      <c r="A98" t="inlineStr">
        <is>
          <t>A 71173-2021</t>
        </is>
      </c>
      <c r="B98" t="inlineStr">
        <is>
          <t>avverkningsanmälan</t>
        </is>
      </c>
      <c r="C98" t="inlineStr">
        <is>
          <t>Föryngringsavverkning</t>
        </is>
      </c>
      <c r="D98" s="1" t="n">
        <v>44539</v>
      </c>
      <c r="E98" s="1" t="n">
        <v>46221</v>
      </c>
      <c r="F98" t="inlineStr">
        <is>
          <t>JÖNKÖPINGS LÄN</t>
        </is>
      </c>
      <c r="G98" t="inlineStr">
        <is>
          <t>VAGGERYD</t>
        </is>
      </c>
      <c r="H98" t="inlineStr">
        <is>
          <t>Sveaskog</t>
        </is>
      </c>
      <c r="I98" t="n">
        <v>1.8</v>
      </c>
      <c r="J98" t="n">
        <v>0</v>
      </c>
      <c r="K98" t="n">
        <v>0</v>
      </c>
      <c r="L98" t="n">
        <v>0</v>
      </c>
      <c r="M98" t="n">
        <v>0</v>
      </c>
      <c r="N98" t="n">
        <v>0</v>
      </c>
      <c r="O98" t="n">
        <v>0</v>
      </c>
      <c r="P98" t="n">
        <v>0</v>
      </c>
      <c r="Q98" t="n">
        <v>0</v>
      </c>
      <c r="R98" t="n">
        <v>0</v>
      </c>
      <c r="S98" t="n">
        <v>0</v>
      </c>
      <c r="T98" t="n">
        <v>0</v>
      </c>
      <c r="U98" s="2" t="inlineStr"/>
    </row>
    <row r="99" ht="15" customHeight="1">
      <c r="A99" t="inlineStr">
        <is>
          <t>A 71182-2021</t>
        </is>
      </c>
      <c r="B99" t="inlineStr">
        <is>
          <t>avverkningsanmälan</t>
        </is>
      </c>
      <c r="C99" t="inlineStr">
        <is>
          <t>Föryngringsavverkning</t>
        </is>
      </c>
      <c r="D99" s="1" t="n">
        <v>44539</v>
      </c>
      <c r="E99" s="1" t="n">
        <v>46221</v>
      </c>
      <c r="F99" t="inlineStr">
        <is>
          <t>JÖNKÖPINGS LÄN</t>
        </is>
      </c>
      <c r="G99" t="inlineStr">
        <is>
          <t>VAGGERYD</t>
        </is>
      </c>
      <c r="H99" t="inlineStr">
        <is>
          <t>Sveaskog</t>
        </is>
      </c>
      <c r="I99" t="n">
        <v>4.2</v>
      </c>
      <c r="J99" t="n">
        <v>0</v>
      </c>
      <c r="K99" t="n">
        <v>0</v>
      </c>
      <c r="L99" t="n">
        <v>0</v>
      </c>
      <c r="M99" t="n">
        <v>0</v>
      </c>
      <c r="N99" t="n">
        <v>0</v>
      </c>
      <c r="O99" t="n">
        <v>0</v>
      </c>
      <c r="P99" t="n">
        <v>0</v>
      </c>
      <c r="Q99" t="n">
        <v>0</v>
      </c>
      <c r="R99" t="n">
        <v>0</v>
      </c>
      <c r="S99" t="n">
        <v>0</v>
      </c>
      <c r="T99" t="n">
        <v>0</v>
      </c>
      <c r="U99" s="2" t="inlineStr"/>
    </row>
    <row r="100" ht="15" customHeight="1">
      <c r="A100" t="inlineStr">
        <is>
          <t>A 58756-2022</t>
        </is>
      </c>
      <c r="B100" t="inlineStr">
        <is>
          <t>avverkningsanmälan</t>
        </is>
      </c>
      <c r="C100" t="inlineStr">
        <is>
          <t>Föryngringsavverkning</t>
        </is>
      </c>
      <c r="D100" s="1" t="n">
        <v>44903</v>
      </c>
      <c r="E100" s="1" t="n">
        <v>46221</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6846-2024</t>
        </is>
      </c>
      <c r="B101" t="inlineStr">
        <is>
          <t>avverkningsanmälan</t>
        </is>
      </c>
      <c r="C101" t="inlineStr">
        <is>
          <t>Föryngringsavverkning</t>
        </is>
      </c>
      <c r="D101" s="1" t="n">
        <v>45342</v>
      </c>
      <c r="E101" s="1" t="n">
        <v>46221</v>
      </c>
      <c r="F101" t="inlineStr">
        <is>
          <t>JÖNKÖPINGS LÄN</t>
        </is>
      </c>
      <c r="G101" t="inlineStr">
        <is>
          <t>VAGGERYD</t>
        </is>
      </c>
      <c r="I101" t="n">
        <v>4.5</v>
      </c>
      <c r="J101" t="n">
        <v>0</v>
      </c>
      <c r="K101" t="n">
        <v>0</v>
      </c>
      <c r="L101" t="n">
        <v>0</v>
      </c>
      <c r="M101" t="n">
        <v>0</v>
      </c>
      <c r="N101" t="n">
        <v>0</v>
      </c>
      <c r="O101" t="n">
        <v>0</v>
      </c>
      <c r="P101" t="n">
        <v>0</v>
      </c>
      <c r="Q101" t="n">
        <v>0</v>
      </c>
      <c r="R101" t="n">
        <v>0</v>
      </c>
      <c r="S101" t="n">
        <v>0</v>
      </c>
      <c r="T101" t="n">
        <v>0</v>
      </c>
      <c r="U101" s="2" t="inlineStr"/>
    </row>
    <row r="102" ht="15" customHeight="1">
      <c r="A102" t="inlineStr">
        <is>
          <t>A 63690-2023</t>
        </is>
      </c>
      <c r="B102" t="inlineStr">
        <is>
          <t>avverkningsanmälan</t>
        </is>
      </c>
      <c r="C102" t="inlineStr">
        <is>
          <t>Föryngringsavverkning</t>
        </is>
      </c>
      <c r="D102" s="1" t="n">
        <v>45275</v>
      </c>
      <c r="E102" s="1" t="n">
        <v>46221</v>
      </c>
      <c r="F102" t="inlineStr">
        <is>
          <t>JÖNKÖPINGS LÄN</t>
        </is>
      </c>
      <c r="G102" t="inlineStr">
        <is>
          <t>VAGGERYD</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6637-2023</t>
        </is>
      </c>
      <c r="B103" t="inlineStr">
        <is>
          <t>avverkningsanmälan</t>
        </is>
      </c>
      <c r="C103" t="inlineStr">
        <is>
          <t>Föryngringsavverkning</t>
        </is>
      </c>
      <c r="D103" s="1" t="n">
        <v>44966</v>
      </c>
      <c r="E103" s="1" t="n">
        <v>46221</v>
      </c>
      <c r="F103" t="inlineStr">
        <is>
          <t>JÖNKÖPINGS LÄN</t>
        </is>
      </c>
      <c r="G103" t="inlineStr">
        <is>
          <t>VAGGERYD</t>
        </is>
      </c>
      <c r="H103" t="inlineStr">
        <is>
          <t>Sveaskog</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6641-2023</t>
        </is>
      </c>
      <c r="B104" t="inlineStr">
        <is>
          <t>avverkningsanmälan</t>
        </is>
      </c>
      <c r="C104" t="inlineStr">
        <is>
          <t>Föryngringsavverkning</t>
        </is>
      </c>
      <c r="D104" s="1" t="n">
        <v>44966</v>
      </c>
      <c r="E104" s="1" t="n">
        <v>46221</v>
      </c>
      <c r="F104" t="inlineStr">
        <is>
          <t>JÖNKÖPINGS LÄN</t>
        </is>
      </c>
      <c r="G104" t="inlineStr">
        <is>
          <t>VAGGERYD</t>
        </is>
      </c>
      <c r="H104" t="inlineStr">
        <is>
          <t>Sveaskog</t>
        </is>
      </c>
      <c r="I104" t="n">
        <v>4.2</v>
      </c>
      <c r="J104" t="n">
        <v>0</v>
      </c>
      <c r="K104" t="n">
        <v>0</v>
      </c>
      <c r="L104" t="n">
        <v>0</v>
      </c>
      <c r="M104" t="n">
        <v>0</v>
      </c>
      <c r="N104" t="n">
        <v>0</v>
      </c>
      <c r="O104" t="n">
        <v>0</v>
      </c>
      <c r="P104" t="n">
        <v>0</v>
      </c>
      <c r="Q104" t="n">
        <v>0</v>
      </c>
      <c r="R104" t="n">
        <v>0</v>
      </c>
      <c r="S104" t="n">
        <v>0</v>
      </c>
      <c r="T104" t="n">
        <v>0</v>
      </c>
      <c r="U104" s="2" t="inlineStr"/>
    </row>
    <row r="105" ht="15" customHeight="1">
      <c r="A105" t="inlineStr">
        <is>
          <t>A 6644-2023</t>
        </is>
      </c>
      <c r="B105" t="inlineStr">
        <is>
          <t>avverkningsanmälan</t>
        </is>
      </c>
      <c r="C105" t="inlineStr">
        <is>
          <t>Avverkning för att bevara och utveckla /försöksver</t>
        </is>
      </c>
      <c r="D105" s="1" t="n">
        <v>44966</v>
      </c>
      <c r="E105" s="1" t="n">
        <v>46221</v>
      </c>
      <c r="F105" t="inlineStr">
        <is>
          <t>JÖNKÖPINGS LÄN</t>
        </is>
      </c>
      <c r="G105" t="inlineStr">
        <is>
          <t>VAGGERYD</t>
        </is>
      </c>
      <c r="H105" t="inlineStr">
        <is>
          <t>Sveaskog</t>
        </is>
      </c>
      <c r="I105" t="n">
        <v>4</v>
      </c>
      <c r="J105" t="n">
        <v>0</v>
      </c>
      <c r="K105" t="n">
        <v>0</v>
      </c>
      <c r="L105" t="n">
        <v>0</v>
      </c>
      <c r="M105" t="n">
        <v>0</v>
      </c>
      <c r="N105" t="n">
        <v>0</v>
      </c>
      <c r="O105" t="n">
        <v>0</v>
      </c>
      <c r="P105" t="n">
        <v>0</v>
      </c>
      <c r="Q105" t="n">
        <v>0</v>
      </c>
      <c r="R105" t="n">
        <v>0</v>
      </c>
      <c r="S105" t="n">
        <v>0</v>
      </c>
      <c r="T105" t="n">
        <v>0</v>
      </c>
      <c r="U105" s="2" t="inlineStr"/>
    </row>
    <row r="106" ht="15" customHeight="1">
      <c r="A106" t="inlineStr">
        <is>
          <t>A 71512-2021</t>
        </is>
      </c>
      <c r="B106" t="inlineStr">
        <is>
          <t>avverkningsanmälan</t>
        </is>
      </c>
      <c r="C106" t="inlineStr">
        <is>
          <t>Föryngringsavverkning</t>
        </is>
      </c>
      <c r="D106" s="1" t="n">
        <v>44540</v>
      </c>
      <c r="E106" s="1" t="n">
        <v>46221</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58836-2022</t>
        </is>
      </c>
      <c r="B107" t="inlineStr">
        <is>
          <t>avverkningsanmälan</t>
        </is>
      </c>
      <c r="C107" t="inlineStr">
        <is>
          <t>Föryngringsavverkning</t>
        </is>
      </c>
      <c r="D107" s="1" t="n">
        <v>44903</v>
      </c>
      <c r="E107" s="1" t="n">
        <v>46221</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47192-2024</t>
        </is>
      </c>
      <c r="B108" t="inlineStr">
        <is>
          <t>avverkningsanmälan</t>
        </is>
      </c>
      <c r="C108" t="inlineStr">
        <is>
          <t>Föryngringsavverkning</t>
        </is>
      </c>
      <c r="D108" s="1" t="n">
        <v>45586</v>
      </c>
      <c r="E108" s="1" t="n">
        <v>46221</v>
      </c>
      <c r="F108" t="inlineStr">
        <is>
          <t>JÖNKÖPINGS LÄN</t>
        </is>
      </c>
      <c r="G108" t="inlineStr">
        <is>
          <t>VAGGERYD</t>
        </is>
      </c>
      <c r="H108" t="inlineStr">
        <is>
          <t>Sveaskog</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9065-2023</t>
        </is>
      </c>
      <c r="B109" t="inlineStr">
        <is>
          <t>avverkningsanmälan</t>
        </is>
      </c>
      <c r="C109" t="inlineStr">
        <is>
          <t>Föryngringsavverkning</t>
        </is>
      </c>
      <c r="D109" s="1" t="n">
        <v>44979</v>
      </c>
      <c r="E109" s="1" t="n">
        <v>46221</v>
      </c>
      <c r="F109" t="inlineStr">
        <is>
          <t>JÖNKÖPINGS LÄN</t>
        </is>
      </c>
      <c r="G109" t="inlineStr">
        <is>
          <t>VAGGERYD</t>
        </is>
      </c>
      <c r="I109" t="n">
        <v>2.7</v>
      </c>
      <c r="J109" t="n">
        <v>0</v>
      </c>
      <c r="K109" t="n">
        <v>0</v>
      </c>
      <c r="L109" t="n">
        <v>0</v>
      </c>
      <c r="M109" t="n">
        <v>0</v>
      </c>
      <c r="N109" t="n">
        <v>0</v>
      </c>
      <c r="O109" t="n">
        <v>0</v>
      </c>
      <c r="P109" t="n">
        <v>0</v>
      </c>
      <c r="Q109" t="n">
        <v>0</v>
      </c>
      <c r="R109" t="n">
        <v>0</v>
      </c>
      <c r="S109" t="n">
        <v>0</v>
      </c>
      <c r="T109" t="n">
        <v>0</v>
      </c>
      <c r="U109" s="2" t="inlineStr"/>
    </row>
    <row r="110" ht="15" customHeight="1">
      <c r="A110" t="inlineStr">
        <is>
          <t>A 58593-2024</t>
        </is>
      </c>
      <c r="B110" t="inlineStr">
        <is>
          <t>avverkningsanmälan</t>
        </is>
      </c>
      <c r="C110" t="inlineStr">
        <is>
          <t>Föryngringsavverkning</t>
        </is>
      </c>
      <c r="D110" s="1" t="n">
        <v>45635</v>
      </c>
      <c r="E110" s="1" t="n">
        <v>46221</v>
      </c>
      <c r="F110" t="inlineStr">
        <is>
          <t>JÖNKÖPINGS LÄN</t>
        </is>
      </c>
      <c r="G110" t="inlineStr">
        <is>
          <t>VAGGERYD</t>
        </is>
      </c>
      <c r="H110" t="inlineStr">
        <is>
          <t>Sveaskog</t>
        </is>
      </c>
      <c r="I110" t="n">
        <v>5.5</v>
      </c>
      <c r="J110" t="n">
        <v>0</v>
      </c>
      <c r="K110" t="n">
        <v>0</v>
      </c>
      <c r="L110" t="n">
        <v>0</v>
      </c>
      <c r="M110" t="n">
        <v>0</v>
      </c>
      <c r="N110" t="n">
        <v>0</v>
      </c>
      <c r="O110" t="n">
        <v>0</v>
      </c>
      <c r="P110" t="n">
        <v>0</v>
      </c>
      <c r="Q110" t="n">
        <v>0</v>
      </c>
      <c r="R110" t="n">
        <v>0</v>
      </c>
      <c r="S110" t="n">
        <v>0</v>
      </c>
      <c r="T110" t="n">
        <v>0</v>
      </c>
      <c r="U110" s="2" t="inlineStr"/>
    </row>
    <row r="111" ht="15" customHeight="1">
      <c r="A111" t="inlineStr">
        <is>
          <t>A 57245-2022</t>
        </is>
      </c>
      <c r="B111" t="inlineStr">
        <is>
          <t>avverkningsanmälan</t>
        </is>
      </c>
      <c r="C111" t="inlineStr">
        <is>
          <t>Avverkning för annat ändamål</t>
        </is>
      </c>
      <c r="D111" s="1" t="n">
        <v>44895</v>
      </c>
      <c r="E111" s="1" t="n">
        <v>46221</v>
      </c>
      <c r="F111" t="inlineStr">
        <is>
          <t>JÖNKÖPINGS LÄN</t>
        </is>
      </c>
      <c r="G111" t="inlineStr">
        <is>
          <t>VAGGERYD</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31017-2024</t>
        </is>
      </c>
      <c r="B112" t="inlineStr">
        <is>
          <t>avverkningsanmälan</t>
        </is>
      </c>
      <c r="C112" t="inlineStr">
        <is>
          <t>Föryngringsavverkning</t>
        </is>
      </c>
      <c r="D112" s="1" t="n">
        <v>45499</v>
      </c>
      <c r="E112" s="1" t="n">
        <v>46221</v>
      </c>
      <c r="F112" t="inlineStr">
        <is>
          <t>JÖNKÖPINGS LÄN</t>
        </is>
      </c>
      <c r="G112" t="inlineStr">
        <is>
          <t>VAGGERYD</t>
        </is>
      </c>
      <c r="H112" t="inlineStr">
        <is>
          <t>Sveaskog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58607-2024</t>
        </is>
      </c>
      <c r="B113" t="inlineStr">
        <is>
          <t>avverkningsanmälan</t>
        </is>
      </c>
      <c r="C113" t="inlineStr">
        <is>
          <t>Föryngringsavverkning</t>
        </is>
      </c>
      <c r="D113" s="1" t="n">
        <v>45635</v>
      </c>
      <c r="E113" s="1" t="n">
        <v>46221</v>
      </c>
      <c r="F113" t="inlineStr">
        <is>
          <t>JÖNKÖPINGS LÄN</t>
        </is>
      </c>
      <c r="G113" t="inlineStr">
        <is>
          <t>VAGGERYD</t>
        </is>
      </c>
      <c r="H113" t="inlineStr">
        <is>
          <t>Sveaskog</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58622-2024</t>
        </is>
      </c>
      <c r="B114" t="inlineStr">
        <is>
          <t>avverkningsanmälan</t>
        </is>
      </c>
      <c r="C114" t="inlineStr">
        <is>
          <t>Föryngringsavverkning</t>
        </is>
      </c>
      <c r="D114" s="1" t="n">
        <v>45635</v>
      </c>
      <c r="E114" s="1" t="n">
        <v>46221</v>
      </c>
      <c r="F114" t="inlineStr">
        <is>
          <t>JÖNKÖPINGS LÄN</t>
        </is>
      </c>
      <c r="G114" t="inlineStr">
        <is>
          <t>VAGGERYD</t>
        </is>
      </c>
      <c r="H114" t="inlineStr">
        <is>
          <t>Sveaskog</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10643-2023</t>
        </is>
      </c>
      <c r="B115" t="inlineStr">
        <is>
          <t>avverkningsanmälan</t>
        </is>
      </c>
      <c r="C115" t="inlineStr">
        <is>
          <t>Föryngringsavverkning</t>
        </is>
      </c>
      <c r="D115" s="1" t="n">
        <v>44988</v>
      </c>
      <c r="E115" s="1" t="n">
        <v>46221</v>
      </c>
      <c r="F115" t="inlineStr">
        <is>
          <t>JÖNKÖPINGS LÄN</t>
        </is>
      </c>
      <c r="G115" t="inlineStr">
        <is>
          <t>VAGGERYD</t>
        </is>
      </c>
      <c r="I115" t="n">
        <v>4</v>
      </c>
      <c r="J115" t="n">
        <v>0</v>
      </c>
      <c r="K115" t="n">
        <v>0</v>
      </c>
      <c r="L115" t="n">
        <v>0</v>
      </c>
      <c r="M115" t="n">
        <v>0</v>
      </c>
      <c r="N115" t="n">
        <v>0</v>
      </c>
      <c r="O115" t="n">
        <v>0</v>
      </c>
      <c r="P115" t="n">
        <v>0</v>
      </c>
      <c r="Q115" t="n">
        <v>0</v>
      </c>
      <c r="R115" t="n">
        <v>0</v>
      </c>
      <c r="S115" t="n">
        <v>0</v>
      </c>
      <c r="T115" t="n">
        <v>0</v>
      </c>
      <c r="U115" s="2" t="inlineStr"/>
    </row>
    <row r="116" ht="15" customHeight="1">
      <c r="A116" t="inlineStr">
        <is>
          <t>A 53072-2021</t>
        </is>
      </c>
      <c r="B116" t="inlineStr">
        <is>
          <t>avverkningsanmälan</t>
        </is>
      </c>
      <c r="C116" t="inlineStr">
        <is>
          <t>Föryngringsavverkning</t>
        </is>
      </c>
      <c r="D116" s="1" t="n">
        <v>44467</v>
      </c>
      <c r="E116" s="1" t="n">
        <v>46221</v>
      </c>
      <c r="F116" t="inlineStr">
        <is>
          <t>JÖNKÖPINGS LÄN</t>
        </is>
      </c>
      <c r="G116" t="inlineStr">
        <is>
          <t>VAGGERYD</t>
        </is>
      </c>
      <c r="I116" t="n">
        <v>7.7</v>
      </c>
      <c r="J116" t="n">
        <v>0</v>
      </c>
      <c r="K116" t="n">
        <v>0</v>
      </c>
      <c r="L116" t="n">
        <v>0</v>
      </c>
      <c r="M116" t="n">
        <v>0</v>
      </c>
      <c r="N116" t="n">
        <v>0</v>
      </c>
      <c r="O116" t="n">
        <v>0</v>
      </c>
      <c r="P116" t="n">
        <v>0</v>
      </c>
      <c r="Q116" t="n">
        <v>0</v>
      </c>
      <c r="R116" t="n">
        <v>0</v>
      </c>
      <c r="S116" t="n">
        <v>0</v>
      </c>
      <c r="T116" t="n">
        <v>0</v>
      </c>
      <c r="U116" s="2" t="inlineStr"/>
    </row>
    <row r="117" ht="15" customHeight="1">
      <c r="A117" t="inlineStr">
        <is>
          <t>A 58876-2021</t>
        </is>
      </c>
      <c r="B117" t="inlineStr">
        <is>
          <t>avverkningsanmälan</t>
        </is>
      </c>
      <c r="C117" t="inlineStr">
        <is>
          <t>Föryngringsavverkning</t>
        </is>
      </c>
      <c r="D117" s="1" t="n">
        <v>44489</v>
      </c>
      <c r="E117" s="1" t="n">
        <v>46221</v>
      </c>
      <c r="F117" t="inlineStr">
        <is>
          <t>JÖNKÖPINGS LÄN</t>
        </is>
      </c>
      <c r="G117" t="inlineStr">
        <is>
          <t>VAGGERYD</t>
        </is>
      </c>
      <c r="I117" t="n">
        <v>7.8</v>
      </c>
      <c r="J117" t="n">
        <v>0</v>
      </c>
      <c r="K117" t="n">
        <v>0</v>
      </c>
      <c r="L117" t="n">
        <v>0</v>
      </c>
      <c r="M117" t="n">
        <v>0</v>
      </c>
      <c r="N117" t="n">
        <v>0</v>
      </c>
      <c r="O117" t="n">
        <v>0</v>
      </c>
      <c r="P117" t="n">
        <v>0</v>
      </c>
      <c r="Q117" t="n">
        <v>0</v>
      </c>
      <c r="R117" t="n">
        <v>0</v>
      </c>
      <c r="S117" t="n">
        <v>0</v>
      </c>
      <c r="T117" t="n">
        <v>0</v>
      </c>
      <c r="U117" s="2" t="inlineStr"/>
    </row>
    <row r="118" ht="15" customHeight="1">
      <c r="A118" t="inlineStr">
        <is>
          <t>A 15140-2023</t>
        </is>
      </c>
      <c r="B118" t="inlineStr">
        <is>
          <t>avverkningsanmälan</t>
        </is>
      </c>
      <c r="C118" t="inlineStr">
        <is>
          <t>Avverkning för annat ändamål</t>
        </is>
      </c>
      <c r="D118" s="1" t="n">
        <v>45015</v>
      </c>
      <c r="E118" s="1" t="n">
        <v>46221</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s="2" t="inlineStr"/>
    </row>
    <row r="119" ht="15" customHeight="1">
      <c r="A119" t="inlineStr">
        <is>
          <t>A 38107-2025</t>
        </is>
      </c>
      <c r="B119" t="inlineStr">
        <is>
          <t>avverkningsanmälan</t>
        </is>
      </c>
      <c r="C119" t="inlineStr">
        <is>
          <t>Föryngringsavverkning</t>
        </is>
      </c>
      <c r="D119" s="1" t="n">
        <v>45882</v>
      </c>
      <c r="E119" s="1" t="n">
        <v>46221</v>
      </c>
      <c r="F119" t="inlineStr">
        <is>
          <t>JÖNKÖPINGS LÄN</t>
        </is>
      </c>
      <c r="G119" t="inlineStr">
        <is>
          <t>VAGGERYD</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26874-2025</t>
        </is>
      </c>
      <c r="B120" t="inlineStr">
        <is>
          <t>avverkningsanmälan</t>
        </is>
      </c>
      <c r="C120" t="inlineStr">
        <is>
          <t>Föryngringsavverkning</t>
        </is>
      </c>
      <c r="D120" s="1" t="n">
        <v>45810</v>
      </c>
      <c r="E120" s="1" t="n">
        <v>46221</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40190-2024</t>
        </is>
      </c>
      <c r="B121" t="inlineStr">
        <is>
          <t>avverkningsanmälan</t>
        </is>
      </c>
      <c r="C121" t="inlineStr">
        <is>
          <t>Föryngringsavverkning</t>
        </is>
      </c>
      <c r="D121" s="1" t="n">
        <v>45554</v>
      </c>
      <c r="E121" s="1" t="n">
        <v>46221</v>
      </c>
      <c r="F121" t="inlineStr">
        <is>
          <t>JÖNKÖPINGS LÄN</t>
        </is>
      </c>
      <c r="G121" t="inlineStr">
        <is>
          <t>VAGGERYD</t>
        </is>
      </c>
      <c r="H121" t="inlineStr">
        <is>
          <t>Sveaskog</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61903-2024</t>
        </is>
      </c>
      <c r="B122" t="inlineStr">
        <is>
          <t>avverkningsanmälan</t>
        </is>
      </c>
      <c r="C122" t="inlineStr">
        <is>
          <t>Föryngringsavverkning</t>
        </is>
      </c>
      <c r="D122" s="1" t="n">
        <v>45653</v>
      </c>
      <c r="E122" s="1" t="n">
        <v>46221</v>
      </c>
      <c r="F122" t="inlineStr">
        <is>
          <t>JÖNKÖPINGS LÄN</t>
        </is>
      </c>
      <c r="G122" t="inlineStr">
        <is>
          <t>VAGGERYD</t>
        </is>
      </c>
      <c r="I122" t="n">
        <v>6.4</v>
      </c>
      <c r="J122" t="n">
        <v>0</v>
      </c>
      <c r="K122" t="n">
        <v>0</v>
      </c>
      <c r="L122" t="n">
        <v>0</v>
      </c>
      <c r="M122" t="n">
        <v>0</v>
      </c>
      <c r="N122" t="n">
        <v>0</v>
      </c>
      <c r="O122" t="n">
        <v>0</v>
      </c>
      <c r="P122" t="n">
        <v>0</v>
      </c>
      <c r="Q122" t="n">
        <v>0</v>
      </c>
      <c r="R122" t="n">
        <v>0</v>
      </c>
      <c r="S122" t="n">
        <v>0</v>
      </c>
      <c r="T122" t="n">
        <v>0</v>
      </c>
      <c r="U122" s="2" t="inlineStr"/>
    </row>
    <row r="123" ht="15" customHeight="1">
      <c r="A123" t="inlineStr">
        <is>
          <t>A 26613-2025</t>
        </is>
      </c>
      <c r="B123" t="inlineStr">
        <is>
          <t>avverkningsanmälan</t>
        </is>
      </c>
      <c r="C123" t="inlineStr">
        <is>
          <t>Föryngringsavverkning</t>
        </is>
      </c>
      <c r="D123" s="1" t="n">
        <v>45810</v>
      </c>
      <c r="E123" s="1" t="n">
        <v>46221</v>
      </c>
      <c r="F123" t="inlineStr">
        <is>
          <t>JÖNKÖPINGS LÄN</t>
        </is>
      </c>
      <c r="G123" t="inlineStr">
        <is>
          <t>VAGGERYD</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38504-2024</t>
        </is>
      </c>
      <c r="B124" t="inlineStr">
        <is>
          <t>avverkningsanmälan</t>
        </is>
      </c>
      <c r="C124" t="inlineStr">
        <is>
          <t>Föryngringsavverkning</t>
        </is>
      </c>
      <c r="D124" s="1" t="n">
        <v>45546</v>
      </c>
      <c r="E124" s="1" t="n">
        <v>46221</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27826-2025</t>
        </is>
      </c>
      <c r="B125" t="inlineStr">
        <is>
          <t>avverkningsanmälan</t>
        </is>
      </c>
      <c r="C125" t="inlineStr">
        <is>
          <t>Föryngringsavverkning</t>
        </is>
      </c>
      <c r="D125" s="1" t="n">
        <v>45817</v>
      </c>
      <c r="E125" s="1" t="n">
        <v>46221</v>
      </c>
      <c r="F125" t="inlineStr">
        <is>
          <t>JÖNKÖPINGS LÄN</t>
        </is>
      </c>
      <c r="G125" t="inlineStr">
        <is>
          <t>VAGGERYD</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17116-2025</t>
        </is>
      </c>
      <c r="B126" t="inlineStr">
        <is>
          <t>avverkningsanmälan</t>
        </is>
      </c>
      <c r="C126" t="inlineStr">
        <is>
          <t>Föryngringsavverkning</t>
        </is>
      </c>
      <c r="D126" s="1" t="n">
        <v>45755</v>
      </c>
      <c r="E126" s="1" t="n">
        <v>46221</v>
      </c>
      <c r="F126" t="inlineStr">
        <is>
          <t>JÖNKÖPINGS LÄN</t>
        </is>
      </c>
      <c r="G126" t="inlineStr">
        <is>
          <t>VAGGERYD</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52420-2023</t>
        </is>
      </c>
      <c r="B127" t="inlineStr">
        <is>
          <t>avverkningsanmälan</t>
        </is>
      </c>
      <c r="C127" t="inlineStr">
        <is>
          <t>Föryngringsavverkning</t>
        </is>
      </c>
      <c r="D127" s="1" t="n">
        <v>45225</v>
      </c>
      <c r="E127" s="1" t="n">
        <v>46221</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59180-2022</t>
        </is>
      </c>
      <c r="B128" t="inlineStr">
        <is>
          <t>avverkningsanmälan</t>
        </is>
      </c>
      <c r="C128" t="inlineStr">
        <is>
          <t>Föryngringsavverkning</t>
        </is>
      </c>
      <c r="D128" s="1" t="n">
        <v>44904</v>
      </c>
      <c r="E128" s="1" t="n">
        <v>46221</v>
      </c>
      <c r="F128" t="inlineStr">
        <is>
          <t>JÖNKÖPINGS LÄN</t>
        </is>
      </c>
      <c r="G128" t="inlineStr">
        <is>
          <t>VAGGERYD</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27815-2025</t>
        </is>
      </c>
      <c r="B129" t="inlineStr">
        <is>
          <t>avverkningsanmälan</t>
        </is>
      </c>
      <c r="C129" t="inlineStr">
        <is>
          <t>Föryngringsavverkning</t>
        </is>
      </c>
      <c r="D129" s="1" t="n">
        <v>45817</v>
      </c>
      <c r="E129" s="1" t="n">
        <v>46221</v>
      </c>
      <c r="F129" t="inlineStr">
        <is>
          <t>JÖNKÖPINGS LÄN</t>
        </is>
      </c>
      <c r="G129" t="inlineStr">
        <is>
          <t>VAGGERYD</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41744-2024</t>
        </is>
      </c>
      <c r="B130" t="inlineStr">
        <is>
          <t>avverkningsanmälan</t>
        </is>
      </c>
      <c r="C130" t="inlineStr">
        <is>
          <t>Föryngringsavverkning</t>
        </is>
      </c>
      <c r="D130" s="1" t="n">
        <v>45561</v>
      </c>
      <c r="E130" s="1" t="n">
        <v>46221</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33613-2025</t>
        </is>
      </c>
      <c r="B131" t="inlineStr">
        <is>
          <t>avverkningsanmälan</t>
        </is>
      </c>
      <c r="C131" t="inlineStr">
        <is>
          <t>Föryngringsavverkning</t>
        </is>
      </c>
      <c r="D131" s="1" t="n">
        <v>45841</v>
      </c>
      <c r="E131" s="1" t="n">
        <v>46221</v>
      </c>
      <c r="F131" t="inlineStr">
        <is>
          <t>JÖNKÖPINGS LÄN</t>
        </is>
      </c>
      <c r="G131" t="inlineStr">
        <is>
          <t>VAGGERYD</t>
        </is>
      </c>
      <c r="I131" t="n">
        <v>3.9</v>
      </c>
      <c r="J131" t="n">
        <v>0</v>
      </c>
      <c r="K131" t="n">
        <v>0</v>
      </c>
      <c r="L131" t="n">
        <v>0</v>
      </c>
      <c r="M131" t="n">
        <v>0</v>
      </c>
      <c r="N131" t="n">
        <v>0</v>
      </c>
      <c r="O131" t="n">
        <v>0</v>
      </c>
      <c r="P131" t="n">
        <v>0</v>
      </c>
      <c r="Q131" t="n">
        <v>0</v>
      </c>
      <c r="R131" t="n">
        <v>0</v>
      </c>
      <c r="S131" t="n">
        <v>0</v>
      </c>
      <c r="T131" t="n">
        <v>0</v>
      </c>
      <c r="U131" s="2" t="inlineStr"/>
    </row>
    <row r="132" ht="15" customHeight="1">
      <c r="A132" t="inlineStr">
        <is>
          <t>A 52454-2024</t>
        </is>
      </c>
      <c r="B132" t="inlineStr">
        <is>
          <t>avverkningsanmälan</t>
        </is>
      </c>
      <c r="C132" t="inlineStr">
        <is>
          <t>Föryngringsavverkning</t>
        </is>
      </c>
      <c r="D132" s="1" t="n">
        <v>45609</v>
      </c>
      <c r="E132" s="1" t="n">
        <v>46221</v>
      </c>
      <c r="F132" t="inlineStr">
        <is>
          <t>JÖNKÖPINGS LÄN</t>
        </is>
      </c>
      <c r="G132" t="inlineStr">
        <is>
          <t>VAGGERYD</t>
        </is>
      </c>
      <c r="H132" t="inlineStr">
        <is>
          <t>Sveaskog</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61908-2024</t>
        </is>
      </c>
      <c r="B133" t="inlineStr">
        <is>
          <t>avverkningsanmälan</t>
        </is>
      </c>
      <c r="C133" t="inlineStr">
        <is>
          <t>Föryngringsavverkning</t>
        </is>
      </c>
      <c r="D133" s="1" t="n">
        <v>45653</v>
      </c>
      <c r="E133" s="1" t="n">
        <v>46221</v>
      </c>
      <c r="F133" t="inlineStr">
        <is>
          <t>JÖNKÖPINGS LÄN</t>
        </is>
      </c>
      <c r="G133" t="inlineStr">
        <is>
          <t>VAGGERYD</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1489-2023</t>
        </is>
      </c>
      <c r="B134" t="inlineStr">
        <is>
          <t>avverkningsanmälan</t>
        </is>
      </c>
      <c r="C134" t="inlineStr">
        <is>
          <t>Föryngringsavverkning</t>
        </is>
      </c>
      <c r="D134" s="1" t="n">
        <v>44935</v>
      </c>
      <c r="E134" s="1" t="n">
        <v>46221</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1493-2023</t>
        </is>
      </c>
      <c r="B135" t="inlineStr">
        <is>
          <t>avverkningsanmälan</t>
        </is>
      </c>
      <c r="C135" t="inlineStr">
        <is>
          <t>Föryngringsavverkning</t>
        </is>
      </c>
      <c r="D135" s="1" t="n">
        <v>44935</v>
      </c>
      <c r="E135" s="1" t="n">
        <v>46221</v>
      </c>
      <c r="F135" t="inlineStr">
        <is>
          <t>JÖNKÖPINGS LÄN</t>
        </is>
      </c>
      <c r="G135" t="inlineStr">
        <is>
          <t>VAGGERYD</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29639-2025</t>
        </is>
      </c>
      <c r="B136" t="inlineStr">
        <is>
          <t>avverkningsanmälan</t>
        </is>
      </c>
      <c r="C136" t="inlineStr">
        <is>
          <t>Föryngringsavverkning</t>
        </is>
      </c>
      <c r="D136" s="1" t="n">
        <v>45825</v>
      </c>
      <c r="E136" s="1" t="n">
        <v>46221</v>
      </c>
      <c r="F136" t="inlineStr">
        <is>
          <t>JÖNKÖPINGS LÄN</t>
        </is>
      </c>
      <c r="G136" t="inlineStr">
        <is>
          <t>VAGGERYD</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46890-2024</t>
        </is>
      </c>
      <c r="B137" t="inlineStr">
        <is>
          <t>avverkningsanmälan</t>
        </is>
      </c>
      <c r="C137" t="inlineStr">
        <is>
          <t>Föryngringsavverkning</t>
        </is>
      </c>
      <c r="D137" s="1" t="n">
        <v>45583</v>
      </c>
      <c r="E137" s="1" t="n">
        <v>46221</v>
      </c>
      <c r="F137" t="inlineStr">
        <is>
          <t>JÖNKÖPINGS LÄN</t>
        </is>
      </c>
      <c r="G137" t="inlineStr">
        <is>
          <t>VAGGERYD</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19798-2023</t>
        </is>
      </c>
      <c r="B138" t="inlineStr">
        <is>
          <t>avverkningsanmälan</t>
        </is>
      </c>
      <c r="C138" t="inlineStr">
        <is>
          <t>Föryngringsavverkning</t>
        </is>
      </c>
      <c r="D138" s="1" t="n">
        <v>45051</v>
      </c>
      <c r="E138" s="1" t="n">
        <v>46221</v>
      </c>
      <c r="F138" t="inlineStr">
        <is>
          <t>JÖNKÖPINGS LÄN</t>
        </is>
      </c>
      <c r="G138" t="inlineStr">
        <is>
          <t>VAGGERYD</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4180-2023</t>
        </is>
      </c>
      <c r="B139" t="inlineStr">
        <is>
          <t>avverkningsanmälan</t>
        </is>
      </c>
      <c r="C139" t="inlineStr">
        <is>
          <t>Föryngringsavverkning</t>
        </is>
      </c>
      <c r="D139" s="1" t="n">
        <v>44953</v>
      </c>
      <c r="E139" s="1" t="n">
        <v>46221</v>
      </c>
      <c r="F139" t="inlineStr">
        <is>
          <t>JÖNKÖPINGS LÄN</t>
        </is>
      </c>
      <c r="G139" t="inlineStr">
        <is>
          <t>VAGGERYD</t>
        </is>
      </c>
      <c r="H139" t="inlineStr">
        <is>
          <t>Sveaskog</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4193-2023</t>
        </is>
      </c>
      <c r="B140" t="inlineStr">
        <is>
          <t>avverkningsanmälan</t>
        </is>
      </c>
      <c r="C140" t="inlineStr">
        <is>
          <t>Föryngringsavverkning</t>
        </is>
      </c>
      <c r="D140" s="1" t="n">
        <v>44953</v>
      </c>
      <c r="E140" s="1" t="n">
        <v>46221</v>
      </c>
      <c r="F140" t="inlineStr">
        <is>
          <t>JÖNKÖPINGS LÄN</t>
        </is>
      </c>
      <c r="G140" t="inlineStr">
        <is>
          <t>VAGGERYD</t>
        </is>
      </c>
      <c r="I140" t="n">
        <v>1.6</v>
      </c>
      <c r="J140" t="n">
        <v>0</v>
      </c>
      <c r="K140" t="n">
        <v>0</v>
      </c>
      <c r="L140" t="n">
        <v>0</v>
      </c>
      <c r="M140" t="n">
        <v>0</v>
      </c>
      <c r="N140" t="n">
        <v>0</v>
      </c>
      <c r="O140" t="n">
        <v>0</v>
      </c>
      <c r="P140" t="n">
        <v>0</v>
      </c>
      <c r="Q140" t="n">
        <v>0</v>
      </c>
      <c r="R140" t="n">
        <v>0</v>
      </c>
      <c r="S140" t="n">
        <v>0</v>
      </c>
      <c r="T140" t="n">
        <v>0</v>
      </c>
      <c r="U140" s="2" t="inlineStr"/>
    </row>
    <row r="141" ht="15" customHeight="1">
      <c r="A141" t="inlineStr">
        <is>
          <t>A 41624-2025</t>
        </is>
      </c>
      <c r="B141" t="inlineStr">
        <is>
          <t>avverkningsanmälan</t>
        </is>
      </c>
      <c r="C141" t="inlineStr">
        <is>
          <t>Föryngringsavverkning</t>
        </is>
      </c>
      <c r="D141" s="1" t="n">
        <v>45901</v>
      </c>
      <c r="E141" s="1" t="n">
        <v>46221</v>
      </c>
      <c r="F141" t="inlineStr">
        <is>
          <t>JÖNKÖPINGS LÄN</t>
        </is>
      </c>
      <c r="G141" t="inlineStr">
        <is>
          <t>VAGGERYD</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6145-2023</t>
        </is>
      </c>
      <c r="B142" t="inlineStr">
        <is>
          <t>avverkningsanmälan</t>
        </is>
      </c>
      <c r="C142" t="inlineStr">
        <is>
          <t>Föryngringsavverkning</t>
        </is>
      </c>
      <c r="D142" s="1" t="n">
        <v>44964</v>
      </c>
      <c r="E142" s="1" t="n">
        <v>46221</v>
      </c>
      <c r="F142" t="inlineStr">
        <is>
          <t>JÖNKÖPINGS LÄN</t>
        </is>
      </c>
      <c r="G142" t="inlineStr">
        <is>
          <t>VAGGERYD</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31194-2025</t>
        </is>
      </c>
      <c r="B143" t="inlineStr">
        <is>
          <t>avverkningsanmälan</t>
        </is>
      </c>
      <c r="C143" t="inlineStr">
        <is>
          <t>Föryngringsavverkning</t>
        </is>
      </c>
      <c r="D143" s="1" t="n">
        <v>45832</v>
      </c>
      <c r="E143" s="1" t="n">
        <v>46221</v>
      </c>
      <c r="F143" t="inlineStr">
        <is>
          <t>JÖNKÖPINGS LÄN</t>
        </is>
      </c>
      <c r="G143" t="inlineStr">
        <is>
          <t>VAGGERYD</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30941-2025</t>
        </is>
      </c>
      <c r="B144" t="inlineStr">
        <is>
          <t>avverkningsanmälan</t>
        </is>
      </c>
      <c r="C144" t="inlineStr">
        <is>
          <t>Föryngringsavverkning</t>
        </is>
      </c>
      <c r="D144" s="1" t="n">
        <v>45832</v>
      </c>
      <c r="E144" s="1" t="n">
        <v>46221</v>
      </c>
      <c r="F144" t="inlineStr">
        <is>
          <t>JÖNKÖPINGS LÄN</t>
        </is>
      </c>
      <c r="G144" t="inlineStr">
        <is>
          <t>VAGGERYD</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25925-2025</t>
        </is>
      </c>
      <c r="B145" t="inlineStr">
        <is>
          <t>avverkningsanmälan</t>
        </is>
      </c>
      <c r="C145" t="inlineStr">
        <is>
          <t>Föryngringsavverkning</t>
        </is>
      </c>
      <c r="D145" s="1" t="n">
        <v>45804</v>
      </c>
      <c r="E145" s="1" t="n">
        <v>46221</v>
      </c>
      <c r="F145" t="inlineStr">
        <is>
          <t>JÖNKÖPINGS LÄN</t>
        </is>
      </c>
      <c r="G145" t="inlineStr">
        <is>
          <t>VAGGERYD</t>
        </is>
      </c>
      <c r="H145" t="inlineStr">
        <is>
          <t>Kyrkan</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18519-2025</t>
        </is>
      </c>
      <c r="B146" t="inlineStr">
        <is>
          <t>avverkningsanmälan</t>
        </is>
      </c>
      <c r="C146" t="inlineStr">
        <is>
          <t>Föryngringsavverkning</t>
        </is>
      </c>
      <c r="D146" s="1" t="n">
        <v>45763</v>
      </c>
      <c r="E146" s="1" t="n">
        <v>46221</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43261-2025</t>
        </is>
      </c>
      <c r="B147" t="inlineStr">
        <is>
          <t>avverkningsanmälan</t>
        </is>
      </c>
      <c r="C147" t="inlineStr">
        <is>
          <t>Föryngringsavverkning</t>
        </is>
      </c>
      <c r="D147" s="1" t="n">
        <v>45910</v>
      </c>
      <c r="E147" s="1" t="n">
        <v>46221</v>
      </c>
      <c r="F147" t="inlineStr">
        <is>
          <t>JÖNKÖPINGS LÄN</t>
        </is>
      </c>
      <c r="G147" t="inlineStr">
        <is>
          <t>VAGGERYD</t>
        </is>
      </c>
      <c r="I147" t="n">
        <v>6.5</v>
      </c>
      <c r="J147" t="n">
        <v>0</v>
      </c>
      <c r="K147" t="n">
        <v>0</v>
      </c>
      <c r="L147" t="n">
        <v>0</v>
      </c>
      <c r="M147" t="n">
        <v>0</v>
      </c>
      <c r="N147" t="n">
        <v>0</v>
      </c>
      <c r="O147" t="n">
        <v>0</v>
      </c>
      <c r="P147" t="n">
        <v>0</v>
      </c>
      <c r="Q147" t="n">
        <v>0</v>
      </c>
      <c r="R147" t="n">
        <v>0</v>
      </c>
      <c r="S147" t="n">
        <v>0</v>
      </c>
      <c r="T147" t="n">
        <v>0</v>
      </c>
      <c r="U147" s="2" t="inlineStr"/>
    </row>
    <row r="148" ht="15" customHeight="1">
      <c r="A148" t="inlineStr">
        <is>
          <t>A 563-2023</t>
        </is>
      </c>
      <c r="B148" t="inlineStr">
        <is>
          <t>avverkningsanmälan</t>
        </is>
      </c>
      <c r="C148" t="inlineStr">
        <is>
          <t>Föryngringsavverkning</t>
        </is>
      </c>
      <c r="D148" s="1" t="n">
        <v>44930</v>
      </c>
      <c r="E148" s="1" t="n">
        <v>46221</v>
      </c>
      <c r="F148" t="inlineStr">
        <is>
          <t>JÖNKÖPINGS LÄN</t>
        </is>
      </c>
      <c r="G148" t="inlineStr">
        <is>
          <t>VAGGERYD</t>
        </is>
      </c>
      <c r="I148" t="n">
        <v>7</v>
      </c>
      <c r="J148" t="n">
        <v>0</v>
      </c>
      <c r="K148" t="n">
        <v>0</v>
      </c>
      <c r="L148" t="n">
        <v>0</v>
      </c>
      <c r="M148" t="n">
        <v>0</v>
      </c>
      <c r="N148" t="n">
        <v>0</v>
      </c>
      <c r="O148" t="n">
        <v>0</v>
      </c>
      <c r="P148" t="n">
        <v>0</v>
      </c>
      <c r="Q148" t="n">
        <v>0</v>
      </c>
      <c r="R148" t="n">
        <v>0</v>
      </c>
      <c r="S148" t="n">
        <v>0</v>
      </c>
      <c r="T148" t="n">
        <v>0</v>
      </c>
      <c r="U148" s="2" t="inlineStr"/>
    </row>
    <row r="149" ht="15" customHeight="1">
      <c r="A149" t="inlineStr">
        <is>
          <t>A 51855-2024</t>
        </is>
      </c>
      <c r="B149" t="inlineStr">
        <is>
          <t>avverkningsanmälan</t>
        </is>
      </c>
      <c r="C149" t="inlineStr">
        <is>
          <t>Föryngringsavverkning</t>
        </is>
      </c>
      <c r="D149" s="1" t="n">
        <v>45607</v>
      </c>
      <c r="E149" s="1" t="n">
        <v>46221</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17009-2024</t>
        </is>
      </c>
      <c r="B150" t="inlineStr">
        <is>
          <t>avverkningsanmälan</t>
        </is>
      </c>
      <c r="C150" t="inlineStr">
        <is>
          <t>Föryngringsavverkning</t>
        </is>
      </c>
      <c r="D150" s="1" t="n">
        <v>45412</v>
      </c>
      <c r="E150" s="1" t="n">
        <v>46221</v>
      </c>
      <c r="F150" t="inlineStr">
        <is>
          <t>JÖNKÖPINGS LÄN</t>
        </is>
      </c>
      <c r="G150" t="inlineStr">
        <is>
          <t>VAGGERYD</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12455-2022</t>
        </is>
      </c>
      <c r="B151" t="inlineStr">
        <is>
          <t>avverkningsanmälan</t>
        </is>
      </c>
      <c r="C151" t="inlineStr">
        <is>
          <t>Föryngringsavverkning</t>
        </is>
      </c>
      <c r="D151" s="1" t="n">
        <v>44638</v>
      </c>
      <c r="E151" s="1" t="n">
        <v>46221</v>
      </c>
      <c r="F151" t="inlineStr">
        <is>
          <t>JÖNKÖPINGS LÄN</t>
        </is>
      </c>
      <c r="G151" t="inlineStr">
        <is>
          <t>VAGGERYD</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26839-2023</t>
        </is>
      </c>
      <c r="B152" t="inlineStr">
        <is>
          <t>avverkningsanmälan</t>
        </is>
      </c>
      <c r="C152" t="inlineStr">
        <is>
          <t>Föryngringsavverkning</t>
        </is>
      </c>
      <c r="D152" s="1" t="n">
        <v>45093</v>
      </c>
      <c r="E152" s="1" t="n">
        <v>46221</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20252-2025</t>
        </is>
      </c>
      <c r="B153" t="inlineStr">
        <is>
          <t>avverkningsanmälan</t>
        </is>
      </c>
      <c r="C153" t="inlineStr">
        <is>
          <t>Avverkning för annat ändamål</t>
        </is>
      </c>
      <c r="D153" s="1" t="n">
        <v>45772</v>
      </c>
      <c r="E153" s="1" t="n">
        <v>46221</v>
      </c>
      <c r="F153" t="inlineStr">
        <is>
          <t>JÖNKÖPINGS LÄN</t>
        </is>
      </c>
      <c r="G153" t="inlineStr">
        <is>
          <t>VAGGERYD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11585-2023</t>
        </is>
      </c>
      <c r="B154" t="inlineStr">
        <is>
          <t>avverkningsanmälan</t>
        </is>
      </c>
      <c r="C154" t="inlineStr">
        <is>
          <t>Föryngringsavverkning</t>
        </is>
      </c>
      <c r="D154" s="1" t="n">
        <v>44994</v>
      </c>
      <c r="E154" s="1" t="n">
        <v>46221</v>
      </c>
      <c r="F154" t="inlineStr">
        <is>
          <t>JÖNKÖPINGS LÄN</t>
        </is>
      </c>
      <c r="G154" t="inlineStr">
        <is>
          <t>VAGGERYD</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11791-2023</t>
        </is>
      </c>
      <c r="B155" t="inlineStr">
        <is>
          <t>avverkningsanmälan</t>
        </is>
      </c>
      <c r="C155" t="inlineStr">
        <is>
          <t>Föryngringsavverkning</t>
        </is>
      </c>
      <c r="D155" s="1" t="n">
        <v>44994</v>
      </c>
      <c r="E155" s="1" t="n">
        <v>46221</v>
      </c>
      <c r="F155" t="inlineStr">
        <is>
          <t>JÖNKÖPINGS LÄN</t>
        </is>
      </c>
      <c r="G155" t="inlineStr">
        <is>
          <t>VAGGERYD</t>
        </is>
      </c>
      <c r="H155" t="inlineStr">
        <is>
          <t>Sveaskog</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45305-2025</t>
        </is>
      </c>
      <c r="B156" t="inlineStr">
        <is>
          <t>avverkningsanmälan</t>
        </is>
      </c>
      <c r="C156" t="inlineStr">
        <is>
          <t>Föryngringsavverkning</t>
        </is>
      </c>
      <c r="D156" s="1" t="n">
        <v>45921</v>
      </c>
      <c r="E156" s="1" t="n">
        <v>46221</v>
      </c>
      <c r="F156" t="inlineStr">
        <is>
          <t>JÖNKÖPINGS LÄN</t>
        </is>
      </c>
      <c r="G156" t="inlineStr">
        <is>
          <t>VAGGERYD</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6452-2026</t>
        </is>
      </c>
      <c r="B157" t="inlineStr">
        <is>
          <t>avverkningsanmälan</t>
        </is>
      </c>
      <c r="C157" t="inlineStr">
        <is>
          <t>Föryngringsavverkning</t>
        </is>
      </c>
      <c r="D157" s="1" t="n">
        <v>46055</v>
      </c>
      <c r="E157" s="1" t="n">
        <v>46221</v>
      </c>
      <c r="F157" t="inlineStr">
        <is>
          <t>JÖNKÖPINGS LÄN</t>
        </is>
      </c>
      <c r="G157" t="inlineStr">
        <is>
          <t>VAGGERYD</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45302-2025</t>
        </is>
      </c>
      <c r="B158" t="inlineStr">
        <is>
          <t>avverkningsanmälan</t>
        </is>
      </c>
      <c r="C158" t="inlineStr">
        <is>
          <t>Föryngringsavverkning</t>
        </is>
      </c>
      <c r="D158" s="1" t="n">
        <v>45921</v>
      </c>
      <c r="E158" s="1" t="n">
        <v>46221</v>
      </c>
      <c r="F158" t="inlineStr">
        <is>
          <t>JÖNKÖPINGS LÄN</t>
        </is>
      </c>
      <c r="G158" t="inlineStr">
        <is>
          <t>VAGGERYD</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45303-2025</t>
        </is>
      </c>
      <c r="B159" t="inlineStr">
        <is>
          <t>avverkningsanmälan</t>
        </is>
      </c>
      <c r="C159" t="inlineStr">
        <is>
          <t>Föryngringsavverkning</t>
        </is>
      </c>
      <c r="D159" s="1" t="n">
        <v>45921</v>
      </c>
      <c r="E159" s="1" t="n">
        <v>46221</v>
      </c>
      <c r="F159" t="inlineStr">
        <is>
          <t>JÖNKÖPINGS LÄN</t>
        </is>
      </c>
      <c r="G159" t="inlineStr">
        <is>
          <t>VAGGERYD</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45304-2025</t>
        </is>
      </c>
      <c r="B160" t="inlineStr">
        <is>
          <t>avverkningsanmälan</t>
        </is>
      </c>
      <c r="C160" t="inlineStr">
        <is>
          <t>Föryngringsavverkning</t>
        </is>
      </c>
      <c r="D160" s="1" t="n">
        <v>45921</v>
      </c>
      <c r="E160" s="1" t="n">
        <v>46221</v>
      </c>
      <c r="F160" t="inlineStr">
        <is>
          <t>JÖNKÖPINGS LÄN</t>
        </is>
      </c>
      <c r="G160" t="inlineStr">
        <is>
          <t>VAGGERYD</t>
        </is>
      </c>
      <c r="I160" t="n">
        <v>5.2</v>
      </c>
      <c r="J160" t="n">
        <v>0</v>
      </c>
      <c r="K160" t="n">
        <v>0</v>
      </c>
      <c r="L160" t="n">
        <v>0</v>
      </c>
      <c r="M160" t="n">
        <v>0</v>
      </c>
      <c r="N160" t="n">
        <v>0</v>
      </c>
      <c r="O160" t="n">
        <v>0</v>
      </c>
      <c r="P160" t="n">
        <v>0</v>
      </c>
      <c r="Q160" t="n">
        <v>0</v>
      </c>
      <c r="R160" t="n">
        <v>0</v>
      </c>
      <c r="S160" t="n">
        <v>0</v>
      </c>
      <c r="T160" t="n">
        <v>0</v>
      </c>
      <c r="U160" s="2" t="inlineStr"/>
    </row>
    <row r="161" ht="15" customHeight="1">
      <c r="A161" t="inlineStr">
        <is>
          <t>A 34091-2025</t>
        </is>
      </c>
      <c r="B161" t="inlineStr">
        <is>
          <t>avverkningsanmälan</t>
        </is>
      </c>
      <c r="C161" t="inlineStr">
        <is>
          <t>Föryngringsavverkning</t>
        </is>
      </c>
      <c r="D161" s="1" t="n">
        <v>45845</v>
      </c>
      <c r="E161" s="1" t="n">
        <v>46221</v>
      </c>
      <c r="F161" t="inlineStr">
        <is>
          <t>JÖNKÖPINGS LÄN</t>
        </is>
      </c>
      <c r="G161" t="inlineStr">
        <is>
          <t>VAGGERYD</t>
        </is>
      </c>
      <c r="H161" t="inlineStr">
        <is>
          <t>Sveaskog</t>
        </is>
      </c>
      <c r="I161" t="n">
        <v>3.2</v>
      </c>
      <c r="J161" t="n">
        <v>0</v>
      </c>
      <c r="K161" t="n">
        <v>0</v>
      </c>
      <c r="L161" t="n">
        <v>0</v>
      </c>
      <c r="M161" t="n">
        <v>0</v>
      </c>
      <c r="N161" t="n">
        <v>0</v>
      </c>
      <c r="O161" t="n">
        <v>0</v>
      </c>
      <c r="P161" t="n">
        <v>0</v>
      </c>
      <c r="Q161" t="n">
        <v>0</v>
      </c>
      <c r="R161" t="n">
        <v>0</v>
      </c>
      <c r="S161" t="n">
        <v>0</v>
      </c>
      <c r="T161" t="n">
        <v>0</v>
      </c>
      <c r="U161" s="2" t="inlineStr"/>
    </row>
    <row r="162" ht="15" customHeight="1">
      <c r="A162" t="inlineStr">
        <is>
          <t>A 45542-2025</t>
        </is>
      </c>
      <c r="B162" t="inlineStr">
        <is>
          <t>avverkningsanmälan</t>
        </is>
      </c>
      <c r="C162" t="inlineStr">
        <is>
          <t>Föryngringsavverkning</t>
        </is>
      </c>
      <c r="D162" s="1" t="n">
        <v>45922</v>
      </c>
      <c r="E162" s="1" t="n">
        <v>46221</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64440-2023</t>
        </is>
      </c>
      <c r="B163" t="inlineStr">
        <is>
          <t>avverkningsanmälan</t>
        </is>
      </c>
      <c r="C163" t="inlineStr">
        <is>
          <t>Föryngringsavverkning</t>
        </is>
      </c>
      <c r="D163" s="1" t="n">
        <v>45280</v>
      </c>
      <c r="E163" s="1" t="n">
        <v>46221</v>
      </c>
      <c r="F163" t="inlineStr">
        <is>
          <t>JÖNKÖPINGS LÄN</t>
        </is>
      </c>
      <c r="G163" t="inlineStr">
        <is>
          <t>VAGGERYD</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6460-2026</t>
        </is>
      </c>
      <c r="B164" t="inlineStr">
        <is>
          <t>avverkningsanmälan</t>
        </is>
      </c>
      <c r="C164" t="inlineStr">
        <is>
          <t>Föryngringsavverkning</t>
        </is>
      </c>
      <c r="D164" s="1" t="n">
        <v>46056</v>
      </c>
      <c r="E164" s="1" t="n">
        <v>46221</v>
      </c>
      <c r="F164" t="inlineStr">
        <is>
          <t>JÖNKÖPINGS LÄN</t>
        </is>
      </c>
      <c r="G164" t="inlineStr">
        <is>
          <t>VAGGERYD</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6510-2026</t>
        </is>
      </c>
      <c r="B165" t="inlineStr">
        <is>
          <t>avverkningsanmälan</t>
        </is>
      </c>
      <c r="C165" t="inlineStr">
        <is>
          <t>Föryngringsavverkning</t>
        </is>
      </c>
      <c r="D165" s="1" t="n">
        <v>46056</v>
      </c>
      <c r="E165" s="1" t="n">
        <v>46221</v>
      </c>
      <c r="F165" t="inlineStr">
        <is>
          <t>JÖNKÖPINGS LÄN</t>
        </is>
      </c>
      <c r="G165" t="inlineStr">
        <is>
          <t>VAGGERYD</t>
        </is>
      </c>
      <c r="I165" t="n">
        <v>4.5</v>
      </c>
      <c r="J165" t="n">
        <v>0</v>
      </c>
      <c r="K165" t="n">
        <v>0</v>
      </c>
      <c r="L165" t="n">
        <v>0</v>
      </c>
      <c r="M165" t="n">
        <v>0</v>
      </c>
      <c r="N165" t="n">
        <v>0</v>
      </c>
      <c r="O165" t="n">
        <v>0</v>
      </c>
      <c r="P165" t="n">
        <v>0</v>
      </c>
      <c r="Q165" t="n">
        <v>0</v>
      </c>
      <c r="R165" t="n">
        <v>0</v>
      </c>
      <c r="S165" t="n">
        <v>0</v>
      </c>
      <c r="T165" t="n">
        <v>0</v>
      </c>
      <c r="U165" s="2" t="inlineStr"/>
    </row>
    <row r="166" ht="15" customHeight="1">
      <c r="A166" t="inlineStr">
        <is>
          <t>A 6450-2026</t>
        </is>
      </c>
      <c r="B166" t="inlineStr">
        <is>
          <t>avverkningsanmälan</t>
        </is>
      </c>
      <c r="C166" t="inlineStr">
        <is>
          <t>Föryngringsavverkning</t>
        </is>
      </c>
      <c r="D166" s="1" t="n">
        <v>46055</v>
      </c>
      <c r="E166" s="1" t="n">
        <v>46221</v>
      </c>
      <c r="F166" t="inlineStr">
        <is>
          <t>JÖNKÖPINGS LÄN</t>
        </is>
      </c>
      <c r="G166" t="inlineStr">
        <is>
          <t>VAGGERYD</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9103-2024</t>
        </is>
      </c>
      <c r="B167" t="inlineStr">
        <is>
          <t>avverkningsanmälan</t>
        </is>
      </c>
      <c r="C167" t="inlineStr">
        <is>
          <t>Avverkning för annat ändamål</t>
        </is>
      </c>
      <c r="D167" s="1" t="n">
        <v>45357</v>
      </c>
      <c r="E167" s="1" t="n">
        <v>46221</v>
      </c>
      <c r="F167" t="inlineStr">
        <is>
          <t>JÖNKÖPINGS LÄN</t>
        </is>
      </c>
      <c r="G167" t="inlineStr">
        <is>
          <t>VAGGERYD</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18515-2025</t>
        </is>
      </c>
      <c r="B168" t="inlineStr">
        <is>
          <t>avverkningsanmälan</t>
        </is>
      </c>
      <c r="C168" t="inlineStr">
        <is>
          <t>Föryngringsavverkning</t>
        </is>
      </c>
      <c r="D168" s="1" t="n">
        <v>45763</v>
      </c>
      <c r="E168" s="1" t="n">
        <v>46221</v>
      </c>
      <c r="F168" t="inlineStr">
        <is>
          <t>JÖNKÖPINGS LÄN</t>
        </is>
      </c>
      <c r="G168" t="inlineStr">
        <is>
          <t>VAGGERYD</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7183-2023</t>
        </is>
      </c>
      <c r="B169" t="inlineStr">
        <is>
          <t>avverkningsanmälan</t>
        </is>
      </c>
      <c r="C169" t="inlineStr">
        <is>
          <t>Föryngringsavverkning</t>
        </is>
      </c>
      <c r="D169" s="1" t="n">
        <v>44965</v>
      </c>
      <c r="E169" s="1" t="n">
        <v>46221</v>
      </c>
      <c r="F169" t="inlineStr">
        <is>
          <t>JÖNKÖPINGS LÄN</t>
        </is>
      </c>
      <c r="G169" t="inlineStr">
        <is>
          <t>VAGGERYD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35570-2025</t>
        </is>
      </c>
      <c r="B170" t="inlineStr">
        <is>
          <t>avverkningsanmälan</t>
        </is>
      </c>
      <c r="C170" t="inlineStr">
        <is>
          <t>Föryngringsavverkning</t>
        </is>
      </c>
      <c r="D170" s="1" t="n">
        <v>45856</v>
      </c>
      <c r="E170" s="1" t="n">
        <v>46221</v>
      </c>
      <c r="F170" t="inlineStr">
        <is>
          <t>JÖNKÖPINGS LÄN</t>
        </is>
      </c>
      <c r="G170" t="inlineStr">
        <is>
          <t>VAGGERYD</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43050-2024</t>
        </is>
      </c>
      <c r="B171" t="inlineStr">
        <is>
          <t>avverkningsanmälan</t>
        </is>
      </c>
      <c r="C171" t="inlineStr">
        <is>
          <t>Föryngringsavverkning</t>
        </is>
      </c>
      <c r="D171" s="1" t="n">
        <v>45567</v>
      </c>
      <c r="E171" s="1" t="n">
        <v>46221</v>
      </c>
      <c r="F171" t="inlineStr">
        <is>
          <t>JÖNKÖPINGS LÄN</t>
        </is>
      </c>
      <c r="G171" t="inlineStr">
        <is>
          <t>VAGGERYD</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6509-2026</t>
        </is>
      </c>
      <c r="B172" t="inlineStr">
        <is>
          <t>avverkningsanmälan</t>
        </is>
      </c>
      <c r="C172" t="inlineStr">
        <is>
          <t>Föryngringsavverkning</t>
        </is>
      </c>
      <c r="D172" s="1" t="n">
        <v>46056</v>
      </c>
      <c r="E172" s="1" t="n">
        <v>46221</v>
      </c>
      <c r="F172" t="inlineStr">
        <is>
          <t>JÖNKÖPINGS LÄN</t>
        </is>
      </c>
      <c r="G172" t="inlineStr">
        <is>
          <t>VAGGERYD</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6451-2026</t>
        </is>
      </c>
      <c r="B173" t="inlineStr">
        <is>
          <t>avverkningsanmälan</t>
        </is>
      </c>
      <c r="C173" t="inlineStr">
        <is>
          <t>Föryngringsavverkning</t>
        </is>
      </c>
      <c r="D173" s="1" t="n">
        <v>46055</v>
      </c>
      <c r="E173" s="1" t="n">
        <v>46221</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16221-2023</t>
        </is>
      </c>
      <c r="B174" t="inlineStr">
        <is>
          <t>avverkningsanmälan</t>
        </is>
      </c>
      <c r="C174" t="inlineStr">
        <is>
          <t>Föryngringsavverkning</t>
        </is>
      </c>
      <c r="D174" s="1" t="n">
        <v>45028</v>
      </c>
      <c r="E174" s="1" t="n">
        <v>46221</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57192-2024</t>
        </is>
      </c>
      <c r="B175" t="inlineStr">
        <is>
          <t>avverkningsanmälan</t>
        </is>
      </c>
      <c r="C175" t="inlineStr">
        <is>
          <t>Avverkning för annat ändamål</t>
        </is>
      </c>
      <c r="D175" s="1" t="n">
        <v>45629</v>
      </c>
      <c r="E175" s="1" t="n">
        <v>46221</v>
      </c>
      <c r="F175" t="inlineStr">
        <is>
          <t>JÖNKÖPINGS LÄN</t>
        </is>
      </c>
      <c r="G175" t="inlineStr">
        <is>
          <t>VAGGERYD</t>
        </is>
      </c>
      <c r="I175" t="n">
        <v>20.8</v>
      </c>
      <c r="J175" t="n">
        <v>0</v>
      </c>
      <c r="K175" t="n">
        <v>0</v>
      </c>
      <c r="L175" t="n">
        <v>0</v>
      </c>
      <c r="M175" t="n">
        <v>0</v>
      </c>
      <c r="N175" t="n">
        <v>0</v>
      </c>
      <c r="O175" t="n">
        <v>0</v>
      </c>
      <c r="P175" t="n">
        <v>0</v>
      </c>
      <c r="Q175" t="n">
        <v>0</v>
      </c>
      <c r="R175" t="n">
        <v>0</v>
      </c>
      <c r="S175" t="n">
        <v>0</v>
      </c>
      <c r="T175" t="n">
        <v>0</v>
      </c>
      <c r="U175" s="2" t="inlineStr"/>
    </row>
    <row r="176" ht="15" customHeight="1">
      <c r="A176" t="inlineStr">
        <is>
          <t>A 11597-2022</t>
        </is>
      </c>
      <c r="B176" t="inlineStr">
        <is>
          <t>avverkningsanmälan</t>
        </is>
      </c>
      <c r="C176" t="inlineStr">
        <is>
          <t>Föryngringsavverkning</t>
        </is>
      </c>
      <c r="D176" s="1" t="n">
        <v>44631</v>
      </c>
      <c r="E176" s="1" t="n">
        <v>46221</v>
      </c>
      <c r="F176" t="inlineStr">
        <is>
          <t>JÖNKÖPINGS LÄN</t>
        </is>
      </c>
      <c r="G176" t="inlineStr">
        <is>
          <t>VAGGERYD</t>
        </is>
      </c>
      <c r="H176" t="inlineStr">
        <is>
          <t>Sveaskog</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6385-2023</t>
        </is>
      </c>
      <c r="B177" t="inlineStr">
        <is>
          <t>avverkningsanmälan</t>
        </is>
      </c>
      <c r="C177" t="inlineStr">
        <is>
          <t>Föryngringsavverkning</t>
        </is>
      </c>
      <c r="D177" s="1" t="n">
        <v>44960</v>
      </c>
      <c r="E177" s="1" t="n">
        <v>46221</v>
      </c>
      <c r="F177" t="inlineStr">
        <is>
          <t>JÖNKÖPINGS LÄN</t>
        </is>
      </c>
      <c r="G177" t="inlineStr">
        <is>
          <t>VAGGERYD</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2027-2025</t>
        </is>
      </c>
      <c r="B178" t="inlineStr">
        <is>
          <t>avverkningsanmälan</t>
        </is>
      </c>
      <c r="C178" t="inlineStr">
        <is>
          <t>Föryngringsavverkning</t>
        </is>
      </c>
      <c r="D178" s="1" t="n">
        <v>45672</v>
      </c>
      <c r="E178" s="1" t="n">
        <v>46221</v>
      </c>
      <c r="F178" t="inlineStr">
        <is>
          <t>JÖNKÖPINGS LÄN</t>
        </is>
      </c>
      <c r="G178" t="inlineStr">
        <is>
          <t>VAGGERYD</t>
        </is>
      </c>
      <c r="H178" t="inlineStr">
        <is>
          <t>Sveaskog</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49230-2025</t>
        </is>
      </c>
      <c r="B179" t="inlineStr">
        <is>
          <t>avverkningsanmälan</t>
        </is>
      </c>
      <c r="C179" t="inlineStr">
        <is>
          <t>Föryngringsavverkning</t>
        </is>
      </c>
      <c r="D179" s="1" t="n">
        <v>45938</v>
      </c>
      <c r="E179" s="1" t="n">
        <v>46221</v>
      </c>
      <c r="F179" t="inlineStr">
        <is>
          <t>JÖNKÖPINGS LÄN</t>
        </is>
      </c>
      <c r="G179" t="inlineStr">
        <is>
          <t>VAGGERYD</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39222-2023</t>
        </is>
      </c>
      <c r="B180" t="inlineStr">
        <is>
          <t>avverkningsanmälan</t>
        </is>
      </c>
      <c r="C180" t="inlineStr">
        <is>
          <t>Föryngringsavverkning</t>
        </is>
      </c>
      <c r="D180" s="1" t="n">
        <v>45166</v>
      </c>
      <c r="E180" s="1" t="n">
        <v>46221</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46883-2024</t>
        </is>
      </c>
      <c r="B181" t="inlineStr">
        <is>
          <t>avverkningsanmälan</t>
        </is>
      </c>
      <c r="C181" t="inlineStr">
        <is>
          <t>Föryngringsavverkning</t>
        </is>
      </c>
      <c r="D181" s="1" t="n">
        <v>45583</v>
      </c>
      <c r="E181" s="1" t="n">
        <v>46221</v>
      </c>
      <c r="F181" t="inlineStr">
        <is>
          <t>JÖNKÖPINGS LÄN</t>
        </is>
      </c>
      <c r="G181" t="inlineStr">
        <is>
          <t>VAGGERYD</t>
        </is>
      </c>
      <c r="I181" t="n">
        <v>0.3</v>
      </c>
      <c r="J181" t="n">
        <v>0</v>
      </c>
      <c r="K181" t="n">
        <v>0</v>
      </c>
      <c r="L181" t="n">
        <v>0</v>
      </c>
      <c r="M181" t="n">
        <v>0</v>
      </c>
      <c r="N181" t="n">
        <v>0</v>
      </c>
      <c r="O181" t="n">
        <v>0</v>
      </c>
      <c r="P181" t="n">
        <v>0</v>
      </c>
      <c r="Q181" t="n">
        <v>0</v>
      </c>
      <c r="R181" t="n">
        <v>0</v>
      </c>
      <c r="S181" t="n">
        <v>0</v>
      </c>
      <c r="T181" t="n">
        <v>0</v>
      </c>
      <c r="U181" s="2" t="inlineStr"/>
    </row>
    <row r="182" ht="15" customHeight="1">
      <c r="A182" t="inlineStr">
        <is>
          <t>A 50415-2025</t>
        </is>
      </c>
      <c r="B182" t="inlineStr">
        <is>
          <t>avverkningsanmälan</t>
        </is>
      </c>
      <c r="C182" t="inlineStr">
        <is>
          <t>Föryngringsavverkning</t>
        </is>
      </c>
      <c r="D182" s="1" t="n">
        <v>45944</v>
      </c>
      <c r="E182" s="1" t="n">
        <v>46221</v>
      </c>
      <c r="F182" t="inlineStr">
        <is>
          <t>JÖNKÖPINGS LÄN</t>
        </is>
      </c>
      <c r="G182" t="inlineStr">
        <is>
          <t>VAGGERYD</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50418-2025</t>
        </is>
      </c>
      <c r="B183" t="inlineStr">
        <is>
          <t>avverkningsanmälan</t>
        </is>
      </c>
      <c r="C183" t="inlineStr">
        <is>
          <t>Föryngringsavverkning</t>
        </is>
      </c>
      <c r="D183" s="1" t="n">
        <v>45944</v>
      </c>
      <c r="E183" s="1" t="n">
        <v>46221</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37757-2025</t>
        </is>
      </c>
      <c r="B184" t="inlineStr">
        <is>
          <t>avverkningsanmälan</t>
        </is>
      </c>
      <c r="C184" t="inlineStr">
        <is>
          <t>Föryngringsavverkning</t>
        </is>
      </c>
      <c r="D184" s="1" t="n">
        <v>45880</v>
      </c>
      <c r="E184" s="1" t="n">
        <v>46221</v>
      </c>
      <c r="F184" t="inlineStr">
        <is>
          <t>JÖNKÖPINGS LÄN</t>
        </is>
      </c>
      <c r="G184" t="inlineStr">
        <is>
          <t>VAGGERYD</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6104-2025</t>
        </is>
      </c>
      <c r="B185" t="inlineStr">
        <is>
          <t>avverkningsanmälan</t>
        </is>
      </c>
      <c r="C185" t="inlineStr">
        <is>
          <t>Föryngringsavverkning</t>
        </is>
      </c>
      <c r="D185" s="1" t="n">
        <v>45697</v>
      </c>
      <c r="E185" s="1" t="n">
        <v>46221</v>
      </c>
      <c r="F185" t="inlineStr">
        <is>
          <t>JÖNKÖPINGS LÄN</t>
        </is>
      </c>
      <c r="G185" t="inlineStr">
        <is>
          <t>VAGGERYD</t>
        </is>
      </c>
      <c r="I185" t="n">
        <v>5.6</v>
      </c>
      <c r="J185" t="n">
        <v>0</v>
      </c>
      <c r="K185" t="n">
        <v>0</v>
      </c>
      <c r="L185" t="n">
        <v>0</v>
      </c>
      <c r="M185" t="n">
        <v>0</v>
      </c>
      <c r="N185" t="n">
        <v>0</v>
      </c>
      <c r="O185" t="n">
        <v>0</v>
      </c>
      <c r="P185" t="n">
        <v>0</v>
      </c>
      <c r="Q185" t="n">
        <v>0</v>
      </c>
      <c r="R185" t="n">
        <v>0</v>
      </c>
      <c r="S185" t="n">
        <v>0</v>
      </c>
      <c r="T185" t="n">
        <v>0</v>
      </c>
      <c r="U185" s="2" t="inlineStr"/>
    </row>
    <row r="186" ht="15" customHeight="1">
      <c r="A186" t="inlineStr">
        <is>
          <t>A 16093-2025</t>
        </is>
      </c>
      <c r="B186" t="inlineStr">
        <is>
          <t>avverkningsanmälan</t>
        </is>
      </c>
      <c r="C186" t="inlineStr">
        <is>
          <t>Föryngringsavverkning</t>
        </is>
      </c>
      <c r="D186" s="1" t="n">
        <v>45749</v>
      </c>
      <c r="E186" s="1" t="n">
        <v>46221</v>
      </c>
      <c r="F186" t="inlineStr">
        <is>
          <t>JÖNKÖPINGS LÄN</t>
        </is>
      </c>
      <c r="G186" t="inlineStr">
        <is>
          <t>VAGGERYD</t>
        </is>
      </c>
      <c r="H186" t="inlineStr">
        <is>
          <t>Sveaskog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51628-2025</t>
        </is>
      </c>
      <c r="B187" t="inlineStr">
        <is>
          <t>avverkningsanmälan</t>
        </is>
      </c>
      <c r="C187" t="inlineStr">
        <is>
          <t>Föryngringsavverkning</t>
        </is>
      </c>
      <c r="D187" s="1" t="n">
        <v>45951</v>
      </c>
      <c r="E187" s="1" t="n">
        <v>46221</v>
      </c>
      <c r="F187" t="inlineStr">
        <is>
          <t>JÖNKÖPINGS LÄN</t>
        </is>
      </c>
      <c r="G187" t="inlineStr">
        <is>
          <t>VAGGERYD</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58617-2024</t>
        </is>
      </c>
      <c r="B188" t="inlineStr">
        <is>
          <t>avverkningsanmälan</t>
        </is>
      </c>
      <c r="C188" t="inlineStr">
        <is>
          <t>Föryngringsavverkning</t>
        </is>
      </c>
      <c r="D188" s="1" t="n">
        <v>45635</v>
      </c>
      <c r="E188" s="1" t="n">
        <v>46221</v>
      </c>
      <c r="F188" t="inlineStr">
        <is>
          <t>JÖNKÖPINGS LÄN</t>
        </is>
      </c>
      <c r="G188" t="inlineStr">
        <is>
          <t>VAGGERYD</t>
        </is>
      </c>
      <c r="H188" t="inlineStr">
        <is>
          <t>Sveaskog</t>
        </is>
      </c>
      <c r="I188" t="n">
        <v>5</v>
      </c>
      <c r="J188" t="n">
        <v>0</v>
      </c>
      <c r="K188" t="n">
        <v>0</v>
      </c>
      <c r="L188" t="n">
        <v>0</v>
      </c>
      <c r="M188" t="n">
        <v>0</v>
      </c>
      <c r="N188" t="n">
        <v>0</v>
      </c>
      <c r="O188" t="n">
        <v>0</v>
      </c>
      <c r="P188" t="n">
        <v>0</v>
      </c>
      <c r="Q188" t="n">
        <v>0</v>
      </c>
      <c r="R188" t="n">
        <v>0</v>
      </c>
      <c r="S188" t="n">
        <v>0</v>
      </c>
      <c r="T188" t="n">
        <v>0</v>
      </c>
      <c r="U188" s="2" t="inlineStr"/>
    </row>
    <row r="189" ht="15" customHeight="1">
      <c r="A189" t="inlineStr">
        <is>
          <t>A 52084-2025</t>
        </is>
      </c>
      <c r="B189" t="inlineStr">
        <is>
          <t>avverkningsanmälan</t>
        </is>
      </c>
      <c r="C189" t="inlineStr">
        <is>
          <t>Föryngringsavverkning</t>
        </is>
      </c>
      <c r="D189" s="1" t="n">
        <v>45952</v>
      </c>
      <c r="E189" s="1" t="n">
        <v>46221</v>
      </c>
      <c r="F189" t="inlineStr">
        <is>
          <t>JÖNKÖPINGS LÄN</t>
        </is>
      </c>
      <c r="G189" t="inlineStr">
        <is>
          <t>VAGGERYD</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51811-2025</t>
        </is>
      </c>
      <c r="B190" t="inlineStr">
        <is>
          <t>avverkningsanmälan</t>
        </is>
      </c>
      <c r="C190" t="inlineStr">
        <is>
          <t>Föryngringsavverkning</t>
        </is>
      </c>
      <c r="D190" s="1" t="n">
        <v>45951</v>
      </c>
      <c r="E190" s="1" t="n">
        <v>46221</v>
      </c>
      <c r="F190" t="inlineStr">
        <is>
          <t>JÖNKÖPINGS LÄN</t>
        </is>
      </c>
      <c r="G190" t="inlineStr">
        <is>
          <t>VAGGERYD</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5803-2025</t>
        </is>
      </c>
      <c r="B191" t="inlineStr">
        <is>
          <t>avverkningsanmälan</t>
        </is>
      </c>
      <c r="C191" t="inlineStr">
        <is>
          <t>Föryngringsavverkning</t>
        </is>
      </c>
      <c r="D191" s="1" t="n">
        <v>45694</v>
      </c>
      <c r="E191" s="1" t="n">
        <v>46221</v>
      </c>
      <c r="F191" t="inlineStr">
        <is>
          <t>JÖNKÖPINGS LÄN</t>
        </is>
      </c>
      <c r="G191" t="inlineStr">
        <is>
          <t>VAGGERYD</t>
        </is>
      </c>
      <c r="I191" t="n">
        <v>7.3</v>
      </c>
      <c r="J191" t="n">
        <v>0</v>
      </c>
      <c r="K191" t="n">
        <v>0</v>
      </c>
      <c r="L191" t="n">
        <v>0</v>
      </c>
      <c r="M191" t="n">
        <v>0</v>
      </c>
      <c r="N191" t="n">
        <v>0</v>
      </c>
      <c r="O191" t="n">
        <v>0</v>
      </c>
      <c r="P191" t="n">
        <v>0</v>
      </c>
      <c r="Q191" t="n">
        <v>0</v>
      </c>
      <c r="R191" t="n">
        <v>0</v>
      </c>
      <c r="S191" t="n">
        <v>0</v>
      </c>
      <c r="T191" t="n">
        <v>0</v>
      </c>
      <c r="U191" s="2" t="inlineStr"/>
    </row>
    <row r="192" ht="15" customHeight="1">
      <c r="A192" t="inlineStr">
        <is>
          <t>A 36547-2023</t>
        </is>
      </c>
      <c r="B192" t="inlineStr">
        <is>
          <t>avverkningsanmälan</t>
        </is>
      </c>
      <c r="C192" t="inlineStr">
        <is>
          <t>Avverkning för annat ändamål</t>
        </is>
      </c>
      <c r="D192" s="1" t="n">
        <v>45152</v>
      </c>
      <c r="E192" s="1" t="n">
        <v>46221</v>
      </c>
      <c r="F192" t="inlineStr">
        <is>
          <t>JÖNKÖPINGS LÄN</t>
        </is>
      </c>
      <c r="G192" t="inlineStr">
        <is>
          <t>VAGGERYD</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36555-2023</t>
        </is>
      </c>
      <c r="B193" t="inlineStr">
        <is>
          <t>avverkningsanmälan</t>
        </is>
      </c>
      <c r="C193" t="inlineStr">
        <is>
          <t>Avverkning för annat ändamål</t>
        </is>
      </c>
      <c r="D193" s="1" t="n">
        <v>45152</v>
      </c>
      <c r="E193" s="1" t="n">
        <v>46221</v>
      </c>
      <c r="F193" t="inlineStr">
        <is>
          <t>JÖNKÖPINGS LÄN</t>
        </is>
      </c>
      <c r="G193" t="inlineStr">
        <is>
          <t>VAGGERYD</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58915-2024</t>
        </is>
      </c>
      <c r="B194" t="inlineStr">
        <is>
          <t>avverkningsanmälan</t>
        </is>
      </c>
      <c r="C194" t="inlineStr">
        <is>
          <t>Föryngringsavverkning</t>
        </is>
      </c>
      <c r="D194" s="1" t="n">
        <v>45636</v>
      </c>
      <c r="E194" s="1" t="n">
        <v>46221</v>
      </c>
      <c r="F194" t="inlineStr">
        <is>
          <t>JÖNKÖPINGS LÄN</t>
        </is>
      </c>
      <c r="G194" t="inlineStr">
        <is>
          <t>VAGGERYD</t>
        </is>
      </c>
      <c r="H194" t="inlineStr">
        <is>
          <t>Sveaskog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52048-2023</t>
        </is>
      </c>
      <c r="B195" t="inlineStr">
        <is>
          <t>avverkningsanmälan</t>
        </is>
      </c>
      <c r="C195" t="inlineStr">
        <is>
          <t>Föryngringsavverkning</t>
        </is>
      </c>
      <c r="D195" s="1" t="n">
        <v>45223</v>
      </c>
      <c r="E195" s="1" t="n">
        <v>46221</v>
      </c>
      <c r="F195" t="inlineStr">
        <is>
          <t>JÖNKÖPINGS LÄN</t>
        </is>
      </c>
      <c r="G195" t="inlineStr">
        <is>
          <t>VAGGERYD</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47924-2022</t>
        </is>
      </c>
      <c r="B196" t="inlineStr">
        <is>
          <t>avverkningsanmälan</t>
        </is>
      </c>
      <c r="C196" t="inlineStr">
        <is>
          <t>Föryngringsavverkning</t>
        </is>
      </c>
      <c r="D196" s="1" t="n">
        <v>44855</v>
      </c>
      <c r="E196" s="1" t="n">
        <v>46221</v>
      </c>
      <c r="F196" t="inlineStr">
        <is>
          <t>JÖNKÖPINGS LÄN</t>
        </is>
      </c>
      <c r="G196" t="inlineStr">
        <is>
          <t>VAGGERYD</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10638-2023</t>
        </is>
      </c>
      <c r="B197" t="inlineStr">
        <is>
          <t>avverkningsanmälan</t>
        </is>
      </c>
      <c r="C197" t="inlineStr">
        <is>
          <t>Föryngringsavverkning</t>
        </is>
      </c>
      <c r="D197" s="1" t="n">
        <v>44988</v>
      </c>
      <c r="E197" s="1" t="n">
        <v>46221</v>
      </c>
      <c r="F197" t="inlineStr">
        <is>
          <t>JÖNKÖPINGS LÄN</t>
        </is>
      </c>
      <c r="G197" t="inlineStr">
        <is>
          <t>VAGGERYD</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16625-2023</t>
        </is>
      </c>
      <c r="B198" t="inlineStr">
        <is>
          <t>avverkningsanmälan</t>
        </is>
      </c>
      <c r="C198" t="inlineStr">
        <is>
          <t>Föryngringsavverkning</t>
        </is>
      </c>
      <c r="D198" s="1" t="n">
        <v>45030</v>
      </c>
      <c r="E198" s="1" t="n">
        <v>46221</v>
      </c>
      <c r="F198" t="inlineStr">
        <is>
          <t>JÖNKÖPINGS LÄN</t>
        </is>
      </c>
      <c r="G198" t="inlineStr">
        <is>
          <t>VAGGERYD</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9826-2026</t>
        </is>
      </c>
      <c r="B199" t="inlineStr">
        <is>
          <t>avverkningsanmälan</t>
        </is>
      </c>
      <c r="C199" t="inlineStr">
        <is>
          <t>Föryngringsavverkning</t>
        </is>
      </c>
      <c r="D199" s="1" t="n">
        <v>46071</v>
      </c>
      <c r="E199" s="1" t="n">
        <v>46221</v>
      </c>
      <c r="F199" t="inlineStr">
        <is>
          <t>JÖNKÖPINGS LÄN</t>
        </is>
      </c>
      <c r="G199" t="inlineStr">
        <is>
          <t>VAGGERYD</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9700-2026</t>
        </is>
      </c>
      <c r="B200" t="inlineStr">
        <is>
          <t>avverkningsanmälan</t>
        </is>
      </c>
      <c r="C200" t="inlineStr">
        <is>
          <t>Föryngringsavverkning</t>
        </is>
      </c>
      <c r="D200" s="1" t="n">
        <v>46072</v>
      </c>
      <c r="E200" s="1" t="n">
        <v>46221</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55246-2023</t>
        </is>
      </c>
      <c r="B201" t="inlineStr">
        <is>
          <t>avverkningsanmälan</t>
        </is>
      </c>
      <c r="C201" t="inlineStr">
        <is>
          <t>Föryngringsavverkning</t>
        </is>
      </c>
      <c r="D201" s="1" t="n">
        <v>45237</v>
      </c>
      <c r="E201" s="1" t="n">
        <v>46221</v>
      </c>
      <c r="F201" t="inlineStr">
        <is>
          <t>JÖNKÖPINGS LÄN</t>
        </is>
      </c>
      <c r="G201" t="inlineStr">
        <is>
          <t>VAGGERYD</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A 39366-2023</t>
        </is>
      </c>
      <c r="B202" t="inlineStr">
        <is>
          <t>avverkningsanmälan</t>
        </is>
      </c>
      <c r="C202" t="inlineStr">
        <is>
          <t>Föryngringsavverkning</t>
        </is>
      </c>
      <c r="D202" s="1" t="n">
        <v>45166</v>
      </c>
      <c r="E202" s="1" t="n">
        <v>46221</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15920-2025</t>
        </is>
      </c>
      <c r="B203" t="inlineStr">
        <is>
          <t>avverkningsanmälan</t>
        </is>
      </c>
      <c r="C203" t="inlineStr">
        <is>
          <t>Föryngringsavverkning</t>
        </is>
      </c>
      <c r="D203" s="1" t="n">
        <v>45749</v>
      </c>
      <c r="E203" s="1" t="n">
        <v>46221</v>
      </c>
      <c r="F203" t="inlineStr">
        <is>
          <t>JÖNKÖPINGS LÄN</t>
        </is>
      </c>
      <c r="G203" t="inlineStr">
        <is>
          <t>VAGGERYD</t>
        </is>
      </c>
      <c r="H203" t="inlineStr">
        <is>
          <t>Sveaskog</t>
        </is>
      </c>
      <c r="I203" t="n">
        <v>4.1</v>
      </c>
      <c r="J203" t="n">
        <v>0</v>
      </c>
      <c r="K203" t="n">
        <v>0</v>
      </c>
      <c r="L203" t="n">
        <v>0</v>
      </c>
      <c r="M203" t="n">
        <v>0</v>
      </c>
      <c r="N203" t="n">
        <v>0</v>
      </c>
      <c r="O203" t="n">
        <v>0</v>
      </c>
      <c r="P203" t="n">
        <v>0</v>
      </c>
      <c r="Q203" t="n">
        <v>0</v>
      </c>
      <c r="R203" t="n">
        <v>0</v>
      </c>
      <c r="S203" t="n">
        <v>0</v>
      </c>
      <c r="T203" t="n">
        <v>0</v>
      </c>
      <c r="U203" s="2" t="inlineStr"/>
    </row>
    <row r="204" ht="15" customHeight="1">
      <c r="A204" t="inlineStr">
        <is>
          <t>A 33638-2022</t>
        </is>
      </c>
      <c r="B204" t="inlineStr">
        <is>
          <t>avverkningsanmälan</t>
        </is>
      </c>
      <c r="C204" t="inlineStr">
        <is>
          <t>Föryngringsavverkning</t>
        </is>
      </c>
      <c r="D204" s="1" t="n">
        <v>44789</v>
      </c>
      <c r="E204" s="1" t="n">
        <v>46221</v>
      </c>
      <c r="F204" t="inlineStr">
        <is>
          <t>JÖNKÖPINGS LÄN</t>
        </is>
      </c>
      <c r="G204" t="inlineStr">
        <is>
          <t>VAGGERYD</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67942-2021</t>
        </is>
      </c>
      <c r="B205" t="inlineStr">
        <is>
          <t>avverkningsanmälan</t>
        </is>
      </c>
      <c r="C205" t="inlineStr">
        <is>
          <t>Föryngringsavverkning</t>
        </is>
      </c>
      <c r="D205" s="1" t="n">
        <v>44525</v>
      </c>
      <c r="E205" s="1" t="n">
        <v>46221</v>
      </c>
      <c r="F205" t="inlineStr">
        <is>
          <t>JÖNKÖPINGS LÄN</t>
        </is>
      </c>
      <c r="G205" t="inlineStr">
        <is>
          <t>VAGGERYD</t>
        </is>
      </c>
      <c r="H205" t="inlineStr">
        <is>
          <t>Sveaskog</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10590-2023</t>
        </is>
      </c>
      <c r="B206" t="inlineStr">
        <is>
          <t>avverkningsanmälan</t>
        </is>
      </c>
      <c r="C206" t="inlineStr">
        <is>
          <t>Föryngringsavverkning</t>
        </is>
      </c>
      <c r="D206" s="1" t="n">
        <v>44988</v>
      </c>
      <c r="E206" s="1" t="n">
        <v>46221</v>
      </c>
      <c r="F206" t="inlineStr">
        <is>
          <t>JÖNKÖPINGS LÄN</t>
        </is>
      </c>
      <c r="G206" t="inlineStr">
        <is>
          <t>VAGGERYD</t>
        </is>
      </c>
      <c r="I206" t="n">
        <v>4.1</v>
      </c>
      <c r="J206" t="n">
        <v>0</v>
      </c>
      <c r="K206" t="n">
        <v>0</v>
      </c>
      <c r="L206" t="n">
        <v>0</v>
      </c>
      <c r="M206" t="n">
        <v>0</v>
      </c>
      <c r="N206" t="n">
        <v>0</v>
      </c>
      <c r="O206" t="n">
        <v>0</v>
      </c>
      <c r="P206" t="n">
        <v>0</v>
      </c>
      <c r="Q206" t="n">
        <v>0</v>
      </c>
      <c r="R206" t="n">
        <v>0</v>
      </c>
      <c r="S206" t="n">
        <v>0</v>
      </c>
      <c r="T206" t="n">
        <v>0</v>
      </c>
      <c r="U206" s="2" t="inlineStr"/>
    </row>
    <row r="207" ht="15" customHeight="1">
      <c r="A207" t="inlineStr">
        <is>
          <t>A 56550-2025</t>
        </is>
      </c>
      <c r="B207" t="inlineStr">
        <is>
          <t>avverkningsanmälan</t>
        </is>
      </c>
      <c r="C207" t="inlineStr">
        <is>
          <t>Föryngringsavverkning</t>
        </is>
      </c>
      <c r="D207" s="1" t="n">
        <v>45975</v>
      </c>
      <c r="E207" s="1" t="n">
        <v>46221</v>
      </c>
      <c r="F207" t="inlineStr">
        <is>
          <t>JÖNKÖPINGS LÄN</t>
        </is>
      </c>
      <c r="G207" t="inlineStr">
        <is>
          <t>VAGGERYD</t>
        </is>
      </c>
      <c r="H207" t="inlineStr">
        <is>
          <t>Sveaskog</t>
        </is>
      </c>
      <c r="I207" t="n">
        <v>10.1</v>
      </c>
      <c r="J207" t="n">
        <v>0</v>
      </c>
      <c r="K207" t="n">
        <v>0</v>
      </c>
      <c r="L207" t="n">
        <v>0</v>
      </c>
      <c r="M207" t="n">
        <v>0</v>
      </c>
      <c r="N207" t="n">
        <v>0</v>
      </c>
      <c r="O207" t="n">
        <v>0</v>
      </c>
      <c r="P207" t="n">
        <v>0</v>
      </c>
      <c r="Q207" t="n">
        <v>0</v>
      </c>
      <c r="R207" t="n">
        <v>0</v>
      </c>
      <c r="S207" t="n">
        <v>0</v>
      </c>
      <c r="T207" t="n">
        <v>0</v>
      </c>
      <c r="U207" s="2" t="inlineStr"/>
    </row>
    <row r="208" ht="15" customHeight="1">
      <c r="A208" t="inlineStr">
        <is>
          <t>A 56985-2025</t>
        </is>
      </c>
      <c r="B208" t="inlineStr">
        <is>
          <t>avverkningsanmälan</t>
        </is>
      </c>
      <c r="C208" t="inlineStr">
        <is>
          <t>Föryngringsavverkning</t>
        </is>
      </c>
      <c r="D208" s="1" t="n">
        <v>45978</v>
      </c>
      <c r="E208" s="1" t="n">
        <v>46221</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57002-2025</t>
        </is>
      </c>
      <c r="B209" t="inlineStr">
        <is>
          <t>avverkningsanmälan</t>
        </is>
      </c>
      <c r="C209" t="inlineStr">
        <is>
          <t>Avverkning för annat ändamål</t>
        </is>
      </c>
      <c r="D209" s="1" t="n">
        <v>45978</v>
      </c>
      <c r="E209" s="1" t="n">
        <v>46221</v>
      </c>
      <c r="F209" t="inlineStr">
        <is>
          <t>JÖNKÖPINGS LÄN</t>
        </is>
      </c>
      <c r="G209" t="inlineStr">
        <is>
          <t>VAGGERYD</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56546-2025</t>
        </is>
      </c>
      <c r="B210" t="inlineStr">
        <is>
          <t>avverkningsanmälan</t>
        </is>
      </c>
      <c r="C210" t="inlineStr">
        <is>
          <t>Föryngringsavverkning</t>
        </is>
      </c>
      <c r="D210" s="1" t="n">
        <v>45975</v>
      </c>
      <c r="E210" s="1" t="n">
        <v>46221</v>
      </c>
      <c r="F210" t="inlineStr">
        <is>
          <t>JÖNKÖPINGS LÄN</t>
        </is>
      </c>
      <c r="G210" t="inlineStr">
        <is>
          <t>VAGGERYD</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53356-2022</t>
        </is>
      </c>
      <c r="B211" t="inlineStr">
        <is>
          <t>avverkningsanmälan</t>
        </is>
      </c>
      <c r="C211" t="inlineStr">
        <is>
          <t>Föryngringsavverkning</t>
        </is>
      </c>
      <c r="D211" s="1" t="n">
        <v>44879</v>
      </c>
      <c r="E211" s="1" t="n">
        <v>46221</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22295-2023</t>
        </is>
      </c>
      <c r="B212" t="inlineStr">
        <is>
          <t>avverkningsanmälan</t>
        </is>
      </c>
      <c r="C212" t="inlineStr">
        <is>
          <t>Föryngringsavverkning</t>
        </is>
      </c>
      <c r="D212" s="1" t="n">
        <v>45070</v>
      </c>
      <c r="E212" s="1" t="n">
        <v>46221</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56991-2025</t>
        </is>
      </c>
      <c r="B213" t="inlineStr">
        <is>
          <t>avverkningsanmälan</t>
        </is>
      </c>
      <c r="C213" t="inlineStr">
        <is>
          <t>Föryngringsavverkning</t>
        </is>
      </c>
      <c r="D213" s="1" t="n">
        <v>45978</v>
      </c>
      <c r="E213" s="1" t="n">
        <v>46221</v>
      </c>
      <c r="F213" t="inlineStr">
        <is>
          <t>JÖNKÖPINGS LÄN</t>
        </is>
      </c>
      <c r="G213" t="inlineStr">
        <is>
          <t>VAGGERYD</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16091-2025</t>
        </is>
      </c>
      <c r="B214" t="inlineStr">
        <is>
          <t>avverkningsanmälan</t>
        </is>
      </c>
      <c r="C214" t="inlineStr">
        <is>
          <t>Föryngringsavverkning</t>
        </is>
      </c>
      <c r="D214" s="1" t="n">
        <v>45749</v>
      </c>
      <c r="E214" s="1" t="n">
        <v>46221</v>
      </c>
      <c r="F214" t="inlineStr">
        <is>
          <t>JÖNKÖPINGS LÄN</t>
        </is>
      </c>
      <c r="G214" t="inlineStr">
        <is>
          <t>VAGGERYD</t>
        </is>
      </c>
      <c r="H214" t="inlineStr">
        <is>
          <t>Sveaskog</t>
        </is>
      </c>
      <c r="I214" t="n">
        <v>2.8</v>
      </c>
      <c r="J214" t="n">
        <v>0</v>
      </c>
      <c r="K214" t="n">
        <v>0</v>
      </c>
      <c r="L214" t="n">
        <v>0</v>
      </c>
      <c r="M214" t="n">
        <v>0</v>
      </c>
      <c r="N214" t="n">
        <v>0</v>
      </c>
      <c r="O214" t="n">
        <v>0</v>
      </c>
      <c r="P214" t="n">
        <v>0</v>
      </c>
      <c r="Q214" t="n">
        <v>0</v>
      </c>
      <c r="R214" t="n">
        <v>0</v>
      </c>
      <c r="S214" t="n">
        <v>0</v>
      </c>
      <c r="T214" t="n">
        <v>0</v>
      </c>
      <c r="U214" s="2" t="inlineStr"/>
    </row>
    <row r="215" ht="15" customHeight="1">
      <c r="A215" t="inlineStr">
        <is>
          <t>A 57006-2025</t>
        </is>
      </c>
      <c r="B215" t="inlineStr">
        <is>
          <t>avverkningsanmälan</t>
        </is>
      </c>
      <c r="C215" t="inlineStr">
        <is>
          <t>Föryngringsavverkning</t>
        </is>
      </c>
      <c r="D215" s="1" t="n">
        <v>45978</v>
      </c>
      <c r="E215" s="1" t="n">
        <v>46221</v>
      </c>
      <c r="F215" t="inlineStr">
        <is>
          <t>JÖNKÖPINGS LÄN</t>
        </is>
      </c>
      <c r="G215" t="inlineStr">
        <is>
          <t>VAGGERYD</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57566-2025</t>
        </is>
      </c>
      <c r="B216" t="inlineStr">
        <is>
          <t>avverkningsanmälan</t>
        </is>
      </c>
      <c r="C216" t="inlineStr">
        <is>
          <t>Föryngringsavverkning</t>
        </is>
      </c>
      <c r="D216" s="1" t="n">
        <v>45980</v>
      </c>
      <c r="E216" s="1" t="n">
        <v>46221</v>
      </c>
      <c r="F216" t="inlineStr">
        <is>
          <t>JÖNKÖPINGS LÄN</t>
        </is>
      </c>
      <c r="G216" t="inlineStr">
        <is>
          <t>VAGGERYD</t>
        </is>
      </c>
      <c r="I216" t="n">
        <v>3.7</v>
      </c>
      <c r="J216" t="n">
        <v>0</v>
      </c>
      <c r="K216" t="n">
        <v>0</v>
      </c>
      <c r="L216" t="n">
        <v>0</v>
      </c>
      <c r="M216" t="n">
        <v>0</v>
      </c>
      <c r="N216" t="n">
        <v>0</v>
      </c>
      <c r="O216" t="n">
        <v>0</v>
      </c>
      <c r="P216" t="n">
        <v>0</v>
      </c>
      <c r="Q216" t="n">
        <v>0</v>
      </c>
      <c r="R216" t="n">
        <v>0</v>
      </c>
      <c r="S216" t="n">
        <v>0</v>
      </c>
      <c r="T216" t="n">
        <v>0</v>
      </c>
      <c r="U216" s="2" t="inlineStr"/>
    </row>
    <row r="217" ht="15" customHeight="1">
      <c r="A217" t="inlineStr">
        <is>
          <t>A 11652-2026</t>
        </is>
      </c>
      <c r="B217" t="inlineStr">
        <is>
          <t>avverkningsanmälan</t>
        </is>
      </c>
      <c r="C217" t="inlineStr">
        <is>
          <t>Föryngringsavverkning</t>
        </is>
      </c>
      <c r="D217" s="1" t="n">
        <v>46084</v>
      </c>
      <c r="E217" s="1" t="n">
        <v>46221</v>
      </c>
      <c r="F217" t="inlineStr">
        <is>
          <t>JÖNKÖPINGS LÄN</t>
        </is>
      </c>
      <c r="G217" t="inlineStr">
        <is>
          <t>VAGGERYD</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23688-2023</t>
        </is>
      </c>
      <c r="B218" t="inlineStr">
        <is>
          <t>avverkningsanmälan</t>
        </is>
      </c>
      <c r="C218" t="inlineStr">
        <is>
          <t>Föryngringsavverkning</t>
        </is>
      </c>
      <c r="D218" s="1" t="n">
        <v>45077</v>
      </c>
      <c r="E218" s="1" t="n">
        <v>46221</v>
      </c>
      <c r="F218" t="inlineStr">
        <is>
          <t>JÖNKÖPINGS LÄN</t>
        </is>
      </c>
      <c r="G218" t="inlineStr">
        <is>
          <t>VAGGERYD</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11657-2026</t>
        </is>
      </c>
      <c r="B219" t="inlineStr">
        <is>
          <t>avverkningsanmälan</t>
        </is>
      </c>
      <c r="C219" t="inlineStr">
        <is>
          <t>Föryngringsavverkning</t>
        </is>
      </c>
      <c r="D219" s="1" t="n">
        <v>46084</v>
      </c>
      <c r="E219" s="1" t="n">
        <v>46221</v>
      </c>
      <c r="F219" t="inlineStr">
        <is>
          <t>JÖNKÖPINGS LÄN</t>
        </is>
      </c>
      <c r="G219" t="inlineStr">
        <is>
          <t>VAGGERYD</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11663-2026</t>
        </is>
      </c>
      <c r="B220" t="inlineStr">
        <is>
          <t>avverkningsanmälan</t>
        </is>
      </c>
      <c r="C220" t="inlineStr">
        <is>
          <t>Föryngringsavverkning</t>
        </is>
      </c>
      <c r="D220" s="1" t="n">
        <v>46084</v>
      </c>
      <c r="E220" s="1" t="n">
        <v>46221</v>
      </c>
      <c r="F220" t="inlineStr">
        <is>
          <t>JÖNKÖPINGS LÄN</t>
        </is>
      </c>
      <c r="G220" t="inlineStr">
        <is>
          <t>VAGGERYD</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11660-2026</t>
        </is>
      </c>
      <c r="B221" t="inlineStr">
        <is>
          <t>avverkningsanmälan</t>
        </is>
      </c>
      <c r="C221" t="inlineStr">
        <is>
          <t>Föryngringsavverkning</t>
        </is>
      </c>
      <c r="D221" s="1" t="n">
        <v>46084</v>
      </c>
      <c r="E221" s="1" t="n">
        <v>46221</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12129-2026</t>
        </is>
      </c>
      <c r="B222" t="inlineStr">
        <is>
          <t>avverkningsanmälan</t>
        </is>
      </c>
      <c r="C222" t="inlineStr">
        <is>
          <t>Föryngringsavverkning</t>
        </is>
      </c>
      <c r="D222" s="1" t="n">
        <v>46086</v>
      </c>
      <c r="E222" s="1" t="n">
        <v>46221</v>
      </c>
      <c r="F222" t="inlineStr">
        <is>
          <t>JÖNKÖPINGS LÄN</t>
        </is>
      </c>
      <c r="G222" t="inlineStr">
        <is>
          <t>VAGGERYD</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12060-2026</t>
        </is>
      </c>
      <c r="B223" t="inlineStr">
        <is>
          <t>avverkningsanmälan</t>
        </is>
      </c>
      <c r="C223" t="inlineStr">
        <is>
          <t>Föryngringsavverkning</t>
        </is>
      </c>
      <c r="D223" s="1" t="n">
        <v>46086</v>
      </c>
      <c r="E223" s="1" t="n">
        <v>46221</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60309-2022</t>
        </is>
      </c>
      <c r="B224" t="inlineStr">
        <is>
          <t>avverkningsanmälan</t>
        </is>
      </c>
      <c r="C224" t="inlineStr">
        <is>
          <t>Föryngringsavverkning</t>
        </is>
      </c>
      <c r="D224" s="1" t="n">
        <v>44910</v>
      </c>
      <c r="E224" s="1" t="n">
        <v>46221</v>
      </c>
      <c r="F224" t="inlineStr">
        <is>
          <t>JÖNKÖPINGS LÄN</t>
        </is>
      </c>
      <c r="G224" t="inlineStr">
        <is>
          <t>VAGGERYD</t>
        </is>
      </c>
      <c r="H224" t="inlineStr">
        <is>
          <t>Sveaskog</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12078-2026</t>
        </is>
      </c>
      <c r="B225" t="inlineStr">
        <is>
          <t>avverkningsanmälan</t>
        </is>
      </c>
      <c r="C225" t="inlineStr">
        <is>
          <t>Föryngringsavverkning</t>
        </is>
      </c>
      <c r="D225" s="1" t="n">
        <v>46086</v>
      </c>
      <c r="E225" s="1" t="n">
        <v>46221</v>
      </c>
      <c r="F225" t="inlineStr">
        <is>
          <t>JÖNKÖPINGS LÄN</t>
        </is>
      </c>
      <c r="G225" t="inlineStr">
        <is>
          <t>VAGGERYD</t>
        </is>
      </c>
      <c r="I225" t="n">
        <v>3.7</v>
      </c>
      <c r="J225" t="n">
        <v>0</v>
      </c>
      <c r="K225" t="n">
        <v>0</v>
      </c>
      <c r="L225" t="n">
        <v>0</v>
      </c>
      <c r="M225" t="n">
        <v>0</v>
      </c>
      <c r="N225" t="n">
        <v>0</v>
      </c>
      <c r="O225" t="n">
        <v>0</v>
      </c>
      <c r="P225" t="n">
        <v>0</v>
      </c>
      <c r="Q225" t="n">
        <v>0</v>
      </c>
      <c r="R225" t="n">
        <v>0</v>
      </c>
      <c r="S225" t="n">
        <v>0</v>
      </c>
      <c r="T225" t="n">
        <v>0</v>
      </c>
      <c r="U225" s="2" t="inlineStr"/>
    </row>
    <row r="226" ht="15" customHeight="1">
      <c r="A226" t="inlineStr">
        <is>
          <t>A 62343-2022</t>
        </is>
      </c>
      <c r="B226" t="inlineStr">
        <is>
          <t>avverkningsanmälan</t>
        </is>
      </c>
      <c r="C226" t="inlineStr">
        <is>
          <t>Föryngringsavverkning</t>
        </is>
      </c>
      <c r="D226" s="1" t="n">
        <v>44916</v>
      </c>
      <c r="E226" s="1" t="n">
        <v>46221</v>
      </c>
      <c r="F226" t="inlineStr">
        <is>
          <t>JÖNKÖPINGS LÄN</t>
        </is>
      </c>
      <c r="G226" t="inlineStr">
        <is>
          <t>VAGGERYD</t>
        </is>
      </c>
      <c r="H226" t="inlineStr">
        <is>
          <t>Övriga Aktiebolag</t>
        </is>
      </c>
      <c r="I226" t="n">
        <v>7.7</v>
      </c>
      <c r="J226" t="n">
        <v>0</v>
      </c>
      <c r="K226" t="n">
        <v>0</v>
      </c>
      <c r="L226" t="n">
        <v>0</v>
      </c>
      <c r="M226" t="n">
        <v>0</v>
      </c>
      <c r="N226" t="n">
        <v>0</v>
      </c>
      <c r="O226" t="n">
        <v>0</v>
      </c>
      <c r="P226" t="n">
        <v>0</v>
      </c>
      <c r="Q226" t="n">
        <v>0</v>
      </c>
      <c r="R226" t="n">
        <v>0</v>
      </c>
      <c r="S226" t="n">
        <v>0</v>
      </c>
      <c r="T226" t="n">
        <v>0</v>
      </c>
      <c r="U226" s="2" t="inlineStr"/>
    </row>
    <row r="227" ht="15" customHeight="1">
      <c r="A227" t="inlineStr">
        <is>
          <t>A 49885-2023</t>
        </is>
      </c>
      <c r="B227" t="inlineStr">
        <is>
          <t>avverkningsanmälan</t>
        </is>
      </c>
      <c r="C227" t="inlineStr">
        <is>
          <t>Föryngringsavverkning</t>
        </is>
      </c>
      <c r="D227" s="1" t="n">
        <v>45213</v>
      </c>
      <c r="E227" s="1" t="n">
        <v>46221</v>
      </c>
      <c r="F227" t="inlineStr">
        <is>
          <t>JÖNKÖPINGS LÄN</t>
        </is>
      </c>
      <c r="G227" t="inlineStr">
        <is>
          <t>VAGGERYD</t>
        </is>
      </c>
      <c r="I227" t="n">
        <v>5</v>
      </c>
      <c r="J227" t="n">
        <v>0</v>
      </c>
      <c r="K227" t="n">
        <v>0</v>
      </c>
      <c r="L227" t="n">
        <v>0</v>
      </c>
      <c r="M227" t="n">
        <v>0</v>
      </c>
      <c r="N227" t="n">
        <v>0</v>
      </c>
      <c r="O227" t="n">
        <v>0</v>
      </c>
      <c r="P227" t="n">
        <v>0</v>
      </c>
      <c r="Q227" t="n">
        <v>0</v>
      </c>
      <c r="R227" t="n">
        <v>0</v>
      </c>
      <c r="S227" t="n">
        <v>0</v>
      </c>
      <c r="T227" t="n">
        <v>0</v>
      </c>
      <c r="U227" s="2" t="inlineStr"/>
    </row>
    <row r="228" ht="15" customHeight="1">
      <c r="A228" t="inlineStr">
        <is>
          <t>A 59177-2025</t>
        </is>
      </c>
      <c r="B228" t="inlineStr">
        <is>
          <t>avverkningsanmälan</t>
        </is>
      </c>
      <c r="C228" t="inlineStr">
        <is>
          <t>Föryngringsavverkning</t>
        </is>
      </c>
      <c r="D228" s="1" t="n">
        <v>45988</v>
      </c>
      <c r="E228" s="1" t="n">
        <v>46221</v>
      </c>
      <c r="F228" t="inlineStr">
        <is>
          <t>JÖNKÖPINGS LÄN</t>
        </is>
      </c>
      <c r="G228" t="inlineStr">
        <is>
          <t>VAGGERYD</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12456-2023</t>
        </is>
      </c>
      <c r="B229" t="inlineStr">
        <is>
          <t>avverkningsanmälan</t>
        </is>
      </c>
      <c r="C229" t="inlineStr">
        <is>
          <t>Föryngringsavverkning</t>
        </is>
      </c>
      <c r="D229" s="1" t="n">
        <v>44999</v>
      </c>
      <c r="E229" s="1" t="n">
        <v>46221</v>
      </c>
      <c r="F229" t="inlineStr">
        <is>
          <t>JÖNKÖPINGS LÄN</t>
        </is>
      </c>
      <c r="G229" t="inlineStr">
        <is>
          <t>VAGGERYD</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51944-2022</t>
        </is>
      </c>
      <c r="B230" t="inlineStr">
        <is>
          <t>avverkningsanmälan</t>
        </is>
      </c>
      <c r="C230" t="inlineStr">
        <is>
          <t>Föryngringsavverkning</t>
        </is>
      </c>
      <c r="D230" s="1" t="n">
        <v>44868</v>
      </c>
      <c r="E230" s="1" t="n">
        <v>46221</v>
      </c>
      <c r="F230" t="inlineStr">
        <is>
          <t>JÖNKÖPINGS LÄN</t>
        </is>
      </c>
      <c r="G230" t="inlineStr">
        <is>
          <t>VAGGERYD</t>
        </is>
      </c>
      <c r="I230" t="n">
        <v>4.6</v>
      </c>
      <c r="J230" t="n">
        <v>0</v>
      </c>
      <c r="K230" t="n">
        <v>0</v>
      </c>
      <c r="L230" t="n">
        <v>0</v>
      </c>
      <c r="M230" t="n">
        <v>0</v>
      </c>
      <c r="N230" t="n">
        <v>0</v>
      </c>
      <c r="O230" t="n">
        <v>0</v>
      </c>
      <c r="P230" t="n">
        <v>0</v>
      </c>
      <c r="Q230" t="n">
        <v>0</v>
      </c>
      <c r="R230" t="n">
        <v>0</v>
      </c>
      <c r="S230" t="n">
        <v>0</v>
      </c>
      <c r="T230" t="n">
        <v>0</v>
      </c>
      <c r="U230" s="2" t="inlineStr"/>
    </row>
    <row r="231" ht="15" customHeight="1">
      <c r="A231" t="inlineStr">
        <is>
          <t>A 60859-2025</t>
        </is>
      </c>
      <c r="B231" t="inlineStr">
        <is>
          <t>avverkningsanmälan</t>
        </is>
      </c>
      <c r="C231" t="inlineStr">
        <is>
          <t>Föryngringsavverkning</t>
        </is>
      </c>
      <c r="D231" s="1" t="n">
        <v>45999</v>
      </c>
      <c r="E231" s="1" t="n">
        <v>46221</v>
      </c>
      <c r="F231" t="inlineStr">
        <is>
          <t>JÖNKÖPINGS LÄN</t>
        </is>
      </c>
      <c r="G231" t="inlineStr">
        <is>
          <t>VAGGERYD</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61633-2025</t>
        </is>
      </c>
      <c r="B232" t="inlineStr">
        <is>
          <t>avverkningsanmälan</t>
        </is>
      </c>
      <c r="C232" t="inlineStr">
        <is>
          <t>Föryngringsavverkning</t>
        </is>
      </c>
      <c r="D232" s="1" t="n">
        <v>46002</v>
      </c>
      <c r="E232" s="1" t="n">
        <v>46221</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27214-2023</t>
        </is>
      </c>
      <c r="B233" t="inlineStr">
        <is>
          <t>avverkningsanmälan</t>
        </is>
      </c>
      <c r="C233" t="inlineStr">
        <is>
          <t>Föryngringsavverkning</t>
        </is>
      </c>
      <c r="D233" s="1" t="n">
        <v>45096</v>
      </c>
      <c r="E233" s="1" t="n">
        <v>46221</v>
      </c>
      <c r="F233" t="inlineStr">
        <is>
          <t>JÖNKÖPINGS LÄN</t>
        </is>
      </c>
      <c r="G233" t="inlineStr">
        <is>
          <t>VAGGERYD</t>
        </is>
      </c>
      <c r="I233" t="n">
        <v>3.4</v>
      </c>
      <c r="J233" t="n">
        <v>0</v>
      </c>
      <c r="K233" t="n">
        <v>0</v>
      </c>
      <c r="L233" t="n">
        <v>0</v>
      </c>
      <c r="M233" t="n">
        <v>0</v>
      </c>
      <c r="N233" t="n">
        <v>0</v>
      </c>
      <c r="O233" t="n">
        <v>0</v>
      </c>
      <c r="P233" t="n">
        <v>0</v>
      </c>
      <c r="Q233" t="n">
        <v>0</v>
      </c>
      <c r="R233" t="n">
        <v>0</v>
      </c>
      <c r="S233" t="n">
        <v>0</v>
      </c>
      <c r="T233" t="n">
        <v>0</v>
      </c>
      <c r="U233" s="2" t="inlineStr"/>
    </row>
    <row r="234" ht="15" customHeight="1">
      <c r="A234" t="inlineStr">
        <is>
          <t>A 62040-2025</t>
        </is>
      </c>
      <c r="B234" t="inlineStr">
        <is>
          <t>avverkningsanmälan</t>
        </is>
      </c>
      <c r="C234" t="inlineStr">
        <is>
          <t>Föryngringsavverkning</t>
        </is>
      </c>
      <c r="D234" s="1" t="n">
        <v>46005</v>
      </c>
      <c r="E234" s="1" t="n">
        <v>46221</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58111-2022</t>
        </is>
      </c>
      <c r="B235" t="inlineStr">
        <is>
          <t>avverkningsanmälan</t>
        </is>
      </c>
      <c r="C235" t="inlineStr">
        <is>
          <t>Föryngringsavverkning</t>
        </is>
      </c>
      <c r="D235" s="1" t="n">
        <v>44900</v>
      </c>
      <c r="E235" s="1" t="n">
        <v>46221</v>
      </c>
      <c r="F235" t="inlineStr">
        <is>
          <t>JÖNKÖPINGS LÄN</t>
        </is>
      </c>
      <c r="G235" t="inlineStr">
        <is>
          <t>VAGGERYD</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5489-2023</t>
        </is>
      </c>
      <c r="B236" t="inlineStr">
        <is>
          <t>avverkningsanmälan</t>
        </is>
      </c>
      <c r="C236" t="inlineStr">
        <is>
          <t>Avverkning för annat ändamål</t>
        </is>
      </c>
      <c r="D236" s="1" t="n">
        <v>44960</v>
      </c>
      <c r="E236" s="1" t="n">
        <v>46221</v>
      </c>
      <c r="F236" t="inlineStr">
        <is>
          <t>JÖNKÖPINGS LÄN</t>
        </is>
      </c>
      <c r="G236" t="inlineStr">
        <is>
          <t>VAGGERYD</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27427-2023</t>
        </is>
      </c>
      <c r="B237" t="inlineStr">
        <is>
          <t>avverkningsanmälan</t>
        </is>
      </c>
      <c r="C237" t="inlineStr">
        <is>
          <t>Avverkning för annat ändamål</t>
        </is>
      </c>
      <c r="D237" s="1" t="n">
        <v>45097</v>
      </c>
      <c r="E237" s="1" t="n">
        <v>46221</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62879-2025</t>
        </is>
      </c>
      <c r="B238" t="inlineStr">
        <is>
          <t>avverkningsanmälan</t>
        </is>
      </c>
      <c r="C238" t="inlineStr">
        <is>
          <t>Föryngringsavverkning</t>
        </is>
      </c>
      <c r="D238" s="1" t="n">
        <v>46008</v>
      </c>
      <c r="E238" s="1" t="n">
        <v>46221</v>
      </c>
      <c r="F238" t="inlineStr">
        <is>
          <t>JÖNKÖPINGS LÄN</t>
        </is>
      </c>
      <c r="G238" t="inlineStr">
        <is>
          <t>VAGGERYD</t>
        </is>
      </c>
      <c r="H238" t="inlineStr">
        <is>
          <t>Sveaskog</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18250-2023</t>
        </is>
      </c>
      <c r="B239" t="inlineStr">
        <is>
          <t>avverkningsanmälan</t>
        </is>
      </c>
      <c r="C239" t="inlineStr">
        <is>
          <t>Föryngringsavverkning</t>
        </is>
      </c>
      <c r="D239" s="1" t="n">
        <v>45040</v>
      </c>
      <c r="E239" s="1" t="n">
        <v>46221</v>
      </c>
      <c r="F239" t="inlineStr">
        <is>
          <t>JÖNKÖPINGS LÄN</t>
        </is>
      </c>
      <c r="G239" t="inlineStr">
        <is>
          <t>VAGGERYD</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63618-2025</t>
        </is>
      </c>
      <c r="B240" t="inlineStr">
        <is>
          <t>avverkningsanmälan</t>
        </is>
      </c>
      <c r="C240" t="inlineStr">
        <is>
          <t>Föryngringsavverkning</t>
        </is>
      </c>
      <c r="D240" s="1" t="n">
        <v>46014</v>
      </c>
      <c r="E240" s="1" t="n">
        <v>46221</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49128-2021</t>
        </is>
      </c>
      <c r="B241" t="inlineStr">
        <is>
          <t>avverkningsanmälan</t>
        </is>
      </c>
      <c r="C241" t="inlineStr">
        <is>
          <t>Föryngringsavverkning</t>
        </is>
      </c>
      <c r="D241" s="1" t="n">
        <v>44453</v>
      </c>
      <c r="E241" s="1" t="n">
        <v>46221</v>
      </c>
      <c r="F241" t="inlineStr">
        <is>
          <t>JÖNKÖPINGS LÄN</t>
        </is>
      </c>
      <c r="G241" t="inlineStr">
        <is>
          <t>VAGGERYD</t>
        </is>
      </c>
      <c r="I241" t="n">
        <v>6.7</v>
      </c>
      <c r="J241" t="n">
        <v>0</v>
      </c>
      <c r="K241" t="n">
        <v>0</v>
      </c>
      <c r="L241" t="n">
        <v>0</v>
      </c>
      <c r="M241" t="n">
        <v>0</v>
      </c>
      <c r="N241" t="n">
        <v>0</v>
      </c>
      <c r="O241" t="n">
        <v>0</v>
      </c>
      <c r="P241" t="n">
        <v>0</v>
      </c>
      <c r="Q241" t="n">
        <v>0</v>
      </c>
      <c r="R241" t="n">
        <v>0</v>
      </c>
      <c r="S241" t="n">
        <v>0</v>
      </c>
      <c r="T241" t="n">
        <v>0</v>
      </c>
      <c r="U241" s="2" t="inlineStr"/>
    </row>
    <row r="242" ht="15" customHeight="1">
      <c r="A242" t="inlineStr">
        <is>
          <t>A 22742-2024</t>
        </is>
      </c>
      <c r="B242" t="inlineStr">
        <is>
          <t>avverkningsanmälan</t>
        </is>
      </c>
      <c r="C242" t="inlineStr">
        <is>
          <t>Föryngringsavverkning</t>
        </is>
      </c>
      <c r="D242" s="1" t="n">
        <v>45448</v>
      </c>
      <c r="E242" s="1" t="n">
        <v>46221</v>
      </c>
      <c r="F242" t="inlineStr">
        <is>
          <t>JÖNKÖPINGS LÄN</t>
        </is>
      </c>
      <c r="G242" t="inlineStr">
        <is>
          <t>VAGGERYD</t>
        </is>
      </c>
      <c r="I242" t="n">
        <v>9.5</v>
      </c>
      <c r="J242" t="n">
        <v>0</v>
      </c>
      <c r="K242" t="n">
        <v>0</v>
      </c>
      <c r="L242" t="n">
        <v>0</v>
      </c>
      <c r="M242" t="n">
        <v>0</v>
      </c>
      <c r="N242" t="n">
        <v>0</v>
      </c>
      <c r="O242" t="n">
        <v>0</v>
      </c>
      <c r="P242" t="n">
        <v>0</v>
      </c>
      <c r="Q242" t="n">
        <v>0</v>
      </c>
      <c r="R242" t="n">
        <v>0</v>
      </c>
      <c r="S242" t="n">
        <v>0</v>
      </c>
      <c r="T242" t="n">
        <v>0</v>
      </c>
      <c r="U242" s="2" t="inlineStr"/>
    </row>
    <row r="243" ht="15" customHeight="1">
      <c r="A243" t="inlineStr">
        <is>
          <t>A 5318-2024</t>
        </is>
      </c>
      <c r="B243" t="inlineStr">
        <is>
          <t>avverkningsanmälan</t>
        </is>
      </c>
      <c r="C243" t="inlineStr">
        <is>
          <t>Föryngringsavverkning</t>
        </is>
      </c>
      <c r="D243" s="1" t="n">
        <v>45330</v>
      </c>
      <c r="E243" s="1" t="n">
        <v>46221</v>
      </c>
      <c r="F243" t="inlineStr">
        <is>
          <t>JÖNKÖPINGS LÄN</t>
        </is>
      </c>
      <c r="G243" t="inlineStr">
        <is>
          <t>VAGGERYD</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5319-2024</t>
        </is>
      </c>
      <c r="B244" t="inlineStr">
        <is>
          <t>avverkningsanmälan</t>
        </is>
      </c>
      <c r="C244" t="inlineStr">
        <is>
          <t>Föryngringsavverkning</t>
        </is>
      </c>
      <c r="D244" s="1" t="n">
        <v>45330</v>
      </c>
      <c r="E244" s="1" t="n">
        <v>46221</v>
      </c>
      <c r="F244" t="inlineStr">
        <is>
          <t>JÖNKÖPINGS LÄN</t>
        </is>
      </c>
      <c r="G244" t="inlineStr">
        <is>
          <t>VAGGERYD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14820-2026</t>
        </is>
      </c>
      <c r="B245" t="inlineStr">
        <is>
          <t>avverkningsanmälan</t>
        </is>
      </c>
      <c r="C245" t="inlineStr">
        <is>
          <t>Föryngringsavverkning</t>
        </is>
      </c>
      <c r="D245" s="1" t="n">
        <v>46104</v>
      </c>
      <c r="E245" s="1" t="n">
        <v>46221</v>
      </c>
      <c r="F245" t="inlineStr">
        <is>
          <t>JÖNKÖPINGS LÄN</t>
        </is>
      </c>
      <c r="G245" t="inlineStr">
        <is>
          <t>VAGGERYD</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19793-2023</t>
        </is>
      </c>
      <c r="B246" t="inlineStr">
        <is>
          <t>avverkningsanmälan</t>
        </is>
      </c>
      <c r="C246" t="inlineStr">
        <is>
          <t>Föryngringsavverkning</t>
        </is>
      </c>
      <c r="D246" s="1" t="n">
        <v>45051</v>
      </c>
      <c r="E246" s="1" t="n">
        <v>46221</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15135-2026</t>
        </is>
      </c>
      <c r="B247" t="inlineStr">
        <is>
          <t>avverkningsanmälan</t>
        </is>
      </c>
      <c r="C247" t="inlineStr">
        <is>
          <t>Föryngringsavverkning</t>
        </is>
      </c>
      <c r="D247" s="1" t="n">
        <v>46105</v>
      </c>
      <c r="E247" s="1" t="n">
        <v>46221</v>
      </c>
      <c r="F247" t="inlineStr">
        <is>
          <t>JÖNKÖPINGS LÄN</t>
        </is>
      </c>
      <c r="G247" t="inlineStr">
        <is>
          <t>VAGGERYD</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42830-2023</t>
        </is>
      </c>
      <c r="B248" t="inlineStr">
        <is>
          <t>avverkningsanmälan</t>
        </is>
      </c>
      <c r="C248" t="inlineStr">
        <is>
          <t>Föryngringsavverkning</t>
        </is>
      </c>
      <c r="D248" s="1" t="n">
        <v>45182</v>
      </c>
      <c r="E248" s="1" t="n">
        <v>46221</v>
      </c>
      <c r="F248" t="inlineStr">
        <is>
          <t>JÖNKÖPINGS LÄN</t>
        </is>
      </c>
      <c r="G248" t="inlineStr">
        <is>
          <t>VAGGERYD</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41956-2024</t>
        </is>
      </c>
      <c r="B249" t="inlineStr">
        <is>
          <t>avverkningsanmälan</t>
        </is>
      </c>
      <c r="C249" t="inlineStr">
        <is>
          <t>Föryngringsavverkning</t>
        </is>
      </c>
      <c r="D249" s="1" t="n">
        <v>45561</v>
      </c>
      <c r="E249" s="1" t="n">
        <v>46221</v>
      </c>
      <c r="F249" t="inlineStr">
        <is>
          <t>JÖNKÖPINGS LÄN</t>
        </is>
      </c>
      <c r="G249" t="inlineStr">
        <is>
          <t>VAGGERYD</t>
        </is>
      </c>
      <c r="I249" t="n">
        <v>8.9</v>
      </c>
      <c r="J249" t="n">
        <v>0</v>
      </c>
      <c r="K249" t="n">
        <v>0</v>
      </c>
      <c r="L249" t="n">
        <v>0</v>
      </c>
      <c r="M249" t="n">
        <v>0</v>
      </c>
      <c r="N249" t="n">
        <v>0</v>
      </c>
      <c r="O249" t="n">
        <v>0</v>
      </c>
      <c r="P249" t="n">
        <v>0</v>
      </c>
      <c r="Q249" t="n">
        <v>0</v>
      </c>
      <c r="R249" t="n">
        <v>0</v>
      </c>
      <c r="S249" t="n">
        <v>0</v>
      </c>
      <c r="T249" t="n">
        <v>0</v>
      </c>
      <c r="U249" s="2" t="inlineStr"/>
    </row>
    <row r="250" ht="15" customHeight="1">
      <c r="A250" t="inlineStr">
        <is>
          <t>A 612-2026</t>
        </is>
      </c>
      <c r="B250" t="inlineStr">
        <is>
          <t>avverkningsanmälan</t>
        </is>
      </c>
      <c r="C250" t="inlineStr">
        <is>
          <t>Föryngringsavverkning</t>
        </is>
      </c>
      <c r="D250" s="1" t="n">
        <v>46029</v>
      </c>
      <c r="E250" s="1" t="n">
        <v>46221</v>
      </c>
      <c r="F250" t="inlineStr">
        <is>
          <t>JÖNKÖPINGS LÄN</t>
        </is>
      </c>
      <c r="G250" t="inlineStr">
        <is>
          <t>VAGGERYD</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1397-2026</t>
        </is>
      </c>
      <c r="B251" t="inlineStr">
        <is>
          <t>avverkningsanmälan</t>
        </is>
      </c>
      <c r="C251" t="inlineStr">
        <is>
          <t>Avverkning för att bevara och utveckla /försöksver</t>
        </is>
      </c>
      <c r="D251" s="1" t="n">
        <v>46031</v>
      </c>
      <c r="E251" s="1" t="n">
        <v>46221</v>
      </c>
      <c r="F251" t="inlineStr">
        <is>
          <t>JÖNKÖPINGS LÄN</t>
        </is>
      </c>
      <c r="G251" t="inlineStr">
        <is>
          <t>VAGGERYD</t>
        </is>
      </c>
      <c r="H251" t="inlineStr">
        <is>
          <t>Sveaskog</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1477-2026</t>
        </is>
      </c>
      <c r="B252" t="inlineStr">
        <is>
          <t>avverkningsanmälan</t>
        </is>
      </c>
      <c r="C252" t="inlineStr">
        <is>
          <t>Föryngringsavverkning</t>
        </is>
      </c>
      <c r="D252" s="1" t="n">
        <v>46033</v>
      </c>
      <c r="E252" s="1" t="n">
        <v>46221</v>
      </c>
      <c r="F252" t="inlineStr">
        <is>
          <t>JÖNKÖPINGS LÄN</t>
        </is>
      </c>
      <c r="G252" t="inlineStr">
        <is>
          <t>VAGGERYD</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1162-2023</t>
        </is>
      </c>
      <c r="B253" t="inlineStr">
        <is>
          <t>avverkningsanmälan</t>
        </is>
      </c>
      <c r="C253" t="inlineStr">
        <is>
          <t>Föryngringsavverkning</t>
        </is>
      </c>
      <c r="D253" s="1" t="n">
        <v>44930</v>
      </c>
      <c r="E253" s="1" t="n">
        <v>46221</v>
      </c>
      <c r="F253" t="inlineStr">
        <is>
          <t>JÖNKÖPINGS LÄN</t>
        </is>
      </c>
      <c r="G253" t="inlineStr">
        <is>
          <t>VAGGERYD</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35704-2024</t>
        </is>
      </c>
      <c r="B254" t="inlineStr">
        <is>
          <t>avverkningsanmälan</t>
        </is>
      </c>
      <c r="C254" t="inlineStr">
        <is>
          <t>Föryngringsavverkning</t>
        </is>
      </c>
      <c r="D254" s="1" t="n">
        <v>45532</v>
      </c>
      <c r="E254" s="1" t="n">
        <v>46221</v>
      </c>
      <c r="F254" t="inlineStr">
        <is>
          <t>JÖNKÖPINGS LÄN</t>
        </is>
      </c>
      <c r="G254" t="inlineStr">
        <is>
          <t>VAGGERYD</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51830-2021</t>
        </is>
      </c>
      <c r="B255" t="inlineStr">
        <is>
          <t>avverkningsanmälan</t>
        </is>
      </c>
      <c r="C255" t="inlineStr">
        <is>
          <t>Föryngringsavverkning</t>
        </is>
      </c>
      <c r="D255" s="1" t="n">
        <v>44462</v>
      </c>
      <c r="E255" s="1" t="n">
        <v>46221</v>
      </c>
      <c r="F255" t="inlineStr">
        <is>
          <t>JÖNKÖPINGS LÄN</t>
        </is>
      </c>
      <c r="G255" t="inlineStr">
        <is>
          <t>VAGGERYD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36564-2023</t>
        </is>
      </c>
      <c r="B256" t="inlineStr">
        <is>
          <t>avverkningsanmälan</t>
        </is>
      </c>
      <c r="C256" t="inlineStr">
        <is>
          <t>Avverkning för annat ändamål</t>
        </is>
      </c>
      <c r="D256" s="1" t="n">
        <v>45152</v>
      </c>
      <c r="E256" s="1" t="n">
        <v>46221</v>
      </c>
      <c r="F256" t="inlineStr">
        <is>
          <t>JÖNKÖPINGS LÄN</t>
        </is>
      </c>
      <c r="G256" t="inlineStr">
        <is>
          <t>VAGGERYD</t>
        </is>
      </c>
      <c r="I256" t="n">
        <v>0.2</v>
      </c>
      <c r="J256" t="n">
        <v>0</v>
      </c>
      <c r="K256" t="n">
        <v>0</v>
      </c>
      <c r="L256" t="n">
        <v>0</v>
      </c>
      <c r="M256" t="n">
        <v>0</v>
      </c>
      <c r="N256" t="n">
        <v>0</v>
      </c>
      <c r="O256" t="n">
        <v>0</v>
      </c>
      <c r="P256" t="n">
        <v>0</v>
      </c>
      <c r="Q256" t="n">
        <v>0</v>
      </c>
      <c r="R256" t="n">
        <v>0</v>
      </c>
      <c r="S256" t="n">
        <v>0</v>
      </c>
      <c r="T256" t="n">
        <v>0</v>
      </c>
      <c r="U256" s="2" t="inlineStr"/>
    </row>
    <row r="257" ht="15" customHeight="1">
      <c r="A257" t="inlineStr">
        <is>
          <t>A 36567-2023</t>
        </is>
      </c>
      <c r="B257" t="inlineStr">
        <is>
          <t>avverkningsanmälan</t>
        </is>
      </c>
      <c r="C257" t="inlineStr">
        <is>
          <t>Avverkning för annat ändamål</t>
        </is>
      </c>
      <c r="D257" s="1" t="n">
        <v>45152</v>
      </c>
      <c r="E257" s="1" t="n">
        <v>46221</v>
      </c>
      <c r="F257" t="inlineStr">
        <is>
          <t>JÖNKÖPINGS LÄN</t>
        </is>
      </c>
      <c r="G257" t="inlineStr">
        <is>
          <t>VAGGERYD</t>
        </is>
      </c>
      <c r="I257" t="n">
        <v>0.1</v>
      </c>
      <c r="J257" t="n">
        <v>0</v>
      </c>
      <c r="K257" t="n">
        <v>0</v>
      </c>
      <c r="L257" t="n">
        <v>0</v>
      </c>
      <c r="M257" t="n">
        <v>0</v>
      </c>
      <c r="N257" t="n">
        <v>0</v>
      </c>
      <c r="O257" t="n">
        <v>0</v>
      </c>
      <c r="P257" t="n">
        <v>0</v>
      </c>
      <c r="Q257" t="n">
        <v>0</v>
      </c>
      <c r="R257" t="n">
        <v>0</v>
      </c>
      <c r="S257" t="n">
        <v>0</v>
      </c>
      <c r="T257" t="n">
        <v>0</v>
      </c>
      <c r="U257" s="2" t="inlineStr"/>
    </row>
    <row r="258" ht="15" customHeight="1">
      <c r="A258" t="inlineStr">
        <is>
          <t>A 39370-2023</t>
        </is>
      </c>
      <c r="B258" t="inlineStr">
        <is>
          <t>avverkningsanmälan</t>
        </is>
      </c>
      <c r="C258" t="inlineStr">
        <is>
          <t>Föryngringsavverkning</t>
        </is>
      </c>
      <c r="D258" s="1" t="n">
        <v>45162</v>
      </c>
      <c r="E258" s="1" t="n">
        <v>46221</v>
      </c>
      <c r="F258" t="inlineStr">
        <is>
          <t>JÖNKÖPINGS LÄN</t>
        </is>
      </c>
      <c r="G258" t="inlineStr">
        <is>
          <t>VAGGERYD</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A 26745-2024</t>
        </is>
      </c>
      <c r="B259" t="inlineStr">
        <is>
          <t>avverkningsanmälan</t>
        </is>
      </c>
      <c r="C259" t="inlineStr">
        <is>
          <t>Föryngringsavverkning</t>
        </is>
      </c>
      <c r="D259" s="1" t="n">
        <v>45470</v>
      </c>
      <c r="E259" s="1" t="n">
        <v>46221</v>
      </c>
      <c r="F259" t="inlineStr">
        <is>
          <t>JÖNKÖPINGS LÄN</t>
        </is>
      </c>
      <c r="G259" t="inlineStr">
        <is>
          <t>VAGGERYD</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16915-2026</t>
        </is>
      </c>
      <c r="B260" t="inlineStr">
        <is>
          <t>avverkningsanmälan</t>
        </is>
      </c>
      <c r="C260" t="inlineStr">
        <is>
          <t>Föryngringsavverkning</t>
        </is>
      </c>
      <c r="D260" s="1" t="n">
        <v>46113</v>
      </c>
      <c r="E260" s="1" t="n">
        <v>46221</v>
      </c>
      <c r="F260" t="inlineStr">
        <is>
          <t>JÖNKÖPINGS LÄN</t>
        </is>
      </c>
      <c r="G260" t="inlineStr">
        <is>
          <t>VAGGERYD</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28466-2024</t>
        </is>
      </c>
      <c r="B261" t="inlineStr">
        <is>
          <t>avverkningsanmälan</t>
        </is>
      </c>
      <c r="C261" t="inlineStr">
        <is>
          <t>Föryngringsavverkning</t>
        </is>
      </c>
      <c r="D261" s="1" t="n">
        <v>45477</v>
      </c>
      <c r="E261" s="1" t="n">
        <v>46221</v>
      </c>
      <c r="F261" t="inlineStr">
        <is>
          <t>JÖNKÖPINGS LÄN</t>
        </is>
      </c>
      <c r="G261" t="inlineStr">
        <is>
          <t>VAGGERYD</t>
        </is>
      </c>
      <c r="H261" t="inlineStr">
        <is>
          <t>Sveaskog</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28470-2024</t>
        </is>
      </c>
      <c r="B262" t="inlineStr">
        <is>
          <t>avverkningsanmälan</t>
        </is>
      </c>
      <c r="C262" t="inlineStr">
        <is>
          <t>Föryngringsavverkning</t>
        </is>
      </c>
      <c r="D262" s="1" t="n">
        <v>45477</v>
      </c>
      <c r="E262" s="1" t="n">
        <v>46221</v>
      </c>
      <c r="F262" t="inlineStr">
        <is>
          <t>JÖNKÖPINGS LÄN</t>
        </is>
      </c>
      <c r="G262" t="inlineStr">
        <is>
          <t>VAGGERYD</t>
        </is>
      </c>
      <c r="H262" t="inlineStr">
        <is>
          <t>Sveaskog</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14396-2023</t>
        </is>
      </c>
      <c r="B263" t="inlineStr">
        <is>
          <t>avverkningsanmälan</t>
        </is>
      </c>
      <c r="C263" t="inlineStr">
        <is>
          <t>Föryngringsavverkning</t>
        </is>
      </c>
      <c r="D263" s="1" t="n">
        <v>45012</v>
      </c>
      <c r="E263" s="1" t="n">
        <v>46221</v>
      </c>
      <c r="F263" t="inlineStr">
        <is>
          <t>JÖNKÖPINGS LÄN</t>
        </is>
      </c>
      <c r="G263" t="inlineStr">
        <is>
          <t>VAGGERYD</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58797-2023</t>
        </is>
      </c>
      <c r="B264" t="inlineStr">
        <is>
          <t>avverkningsanmälan</t>
        </is>
      </c>
      <c r="C264" t="inlineStr">
        <is>
          <t>Föryngringsavverkning</t>
        </is>
      </c>
      <c r="D264" s="1" t="n">
        <v>45247</v>
      </c>
      <c r="E264" s="1" t="n">
        <v>46221</v>
      </c>
      <c r="F264" t="inlineStr">
        <is>
          <t>JÖNKÖPINGS LÄN</t>
        </is>
      </c>
      <c r="G264" t="inlineStr">
        <is>
          <t>VAGGERYD</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24993-2023</t>
        </is>
      </c>
      <c r="B265" t="inlineStr">
        <is>
          <t>avverkningsanmälan</t>
        </is>
      </c>
      <c r="C265" t="inlineStr">
        <is>
          <t>Föryngringsavverkning</t>
        </is>
      </c>
      <c r="D265" s="1" t="n">
        <v>45085</v>
      </c>
      <c r="E265" s="1" t="n">
        <v>46221</v>
      </c>
      <c r="F265" t="inlineStr">
        <is>
          <t>JÖNKÖPINGS LÄN</t>
        </is>
      </c>
      <c r="G265" t="inlineStr">
        <is>
          <t>VAGGERYD</t>
        </is>
      </c>
      <c r="H265" t="inlineStr">
        <is>
          <t>Sveaskog</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10586-2023</t>
        </is>
      </c>
      <c r="B266" t="inlineStr">
        <is>
          <t>avverkningsanmälan</t>
        </is>
      </c>
      <c r="C266" t="inlineStr">
        <is>
          <t>Föryngringsavverkning</t>
        </is>
      </c>
      <c r="D266" s="1" t="n">
        <v>44988</v>
      </c>
      <c r="E266" s="1" t="n">
        <v>46221</v>
      </c>
      <c r="F266" t="inlineStr">
        <is>
          <t>JÖNKÖPINGS LÄN</t>
        </is>
      </c>
      <c r="G266" t="inlineStr">
        <is>
          <t>VAGGERYD</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18148-2026</t>
        </is>
      </c>
      <c r="B267" t="inlineStr">
        <is>
          <t>avverkningsanmälan</t>
        </is>
      </c>
      <c r="C267" t="inlineStr">
        <is>
          <t>Föryngringsavverkning</t>
        </is>
      </c>
      <c r="D267" s="1" t="n">
        <v>46125</v>
      </c>
      <c r="E267" s="1" t="n">
        <v>46221</v>
      </c>
      <c r="F267" t="inlineStr">
        <is>
          <t>JÖNKÖPINGS LÄN</t>
        </is>
      </c>
      <c r="G267" t="inlineStr">
        <is>
          <t>VAGGERYD</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60202-2024</t>
        </is>
      </c>
      <c r="B268" t="inlineStr">
        <is>
          <t>avverkningsanmälan</t>
        </is>
      </c>
      <c r="C268" t="inlineStr">
        <is>
          <t>Föryngringsavverkning</t>
        </is>
      </c>
      <c r="D268" s="1" t="n">
        <v>45642</v>
      </c>
      <c r="E268" s="1" t="n">
        <v>46221</v>
      </c>
      <c r="F268" t="inlineStr">
        <is>
          <t>JÖNKÖPINGS LÄN</t>
        </is>
      </c>
      <c r="G268" t="inlineStr">
        <is>
          <t>VAGGERYD</t>
        </is>
      </c>
      <c r="I268" t="n">
        <v>19.7</v>
      </c>
      <c r="J268" t="n">
        <v>0</v>
      </c>
      <c r="K268" t="n">
        <v>0</v>
      </c>
      <c r="L268" t="n">
        <v>0</v>
      </c>
      <c r="M268" t="n">
        <v>0</v>
      </c>
      <c r="N268" t="n">
        <v>0</v>
      </c>
      <c r="O268" t="n">
        <v>0</v>
      </c>
      <c r="P268" t="n">
        <v>0</v>
      </c>
      <c r="Q268" t="n">
        <v>0</v>
      </c>
      <c r="R268" t="n">
        <v>0</v>
      </c>
      <c r="S268" t="n">
        <v>0</v>
      </c>
      <c r="T268" t="n">
        <v>0</v>
      </c>
      <c r="U268" s="2" t="inlineStr"/>
    </row>
    <row r="269" ht="15" customHeight="1">
      <c r="A269" t="inlineStr">
        <is>
          <t>A 19106-2023</t>
        </is>
      </c>
      <c r="B269" t="inlineStr">
        <is>
          <t>avverkningsanmälan</t>
        </is>
      </c>
      <c r="C269" t="inlineStr">
        <is>
          <t>Föryngringsavverkning</t>
        </is>
      </c>
      <c r="D269" s="1" t="n">
        <v>45048</v>
      </c>
      <c r="E269" s="1" t="n">
        <v>46221</v>
      </c>
      <c r="F269" t="inlineStr">
        <is>
          <t>JÖNKÖPINGS LÄN</t>
        </is>
      </c>
      <c r="G269" t="inlineStr">
        <is>
          <t>VAGGERYD</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19117-2023</t>
        </is>
      </c>
      <c r="B270" t="inlineStr">
        <is>
          <t>avverkningsanmälan</t>
        </is>
      </c>
      <c r="C270" t="inlineStr">
        <is>
          <t>Föryngringsavverkning</t>
        </is>
      </c>
      <c r="D270" s="1" t="n">
        <v>45048</v>
      </c>
      <c r="E270" s="1" t="n">
        <v>46221</v>
      </c>
      <c r="F270" t="inlineStr">
        <is>
          <t>JÖNKÖPINGS LÄN</t>
        </is>
      </c>
      <c r="G270" t="inlineStr">
        <is>
          <t>VAGGERYD</t>
        </is>
      </c>
      <c r="I270" t="n">
        <v>5.5</v>
      </c>
      <c r="J270" t="n">
        <v>0</v>
      </c>
      <c r="K270" t="n">
        <v>0</v>
      </c>
      <c r="L270" t="n">
        <v>0</v>
      </c>
      <c r="M270" t="n">
        <v>0</v>
      </c>
      <c r="N270" t="n">
        <v>0</v>
      </c>
      <c r="O270" t="n">
        <v>0</v>
      </c>
      <c r="P270" t="n">
        <v>0</v>
      </c>
      <c r="Q270" t="n">
        <v>0</v>
      </c>
      <c r="R270" t="n">
        <v>0</v>
      </c>
      <c r="S270" t="n">
        <v>0</v>
      </c>
      <c r="T270" t="n">
        <v>0</v>
      </c>
      <c r="U270" s="2" t="inlineStr"/>
    </row>
    <row r="271" ht="15" customHeight="1">
      <c r="A271" t="inlineStr">
        <is>
          <t>A 49674-2023</t>
        </is>
      </c>
      <c r="B271" t="inlineStr">
        <is>
          <t>avverkningsanmälan</t>
        </is>
      </c>
      <c r="C271" t="inlineStr">
        <is>
          <t>Föryngringsavverkning</t>
        </is>
      </c>
      <c r="D271" s="1" t="n">
        <v>45212</v>
      </c>
      <c r="E271" s="1" t="n">
        <v>46221</v>
      </c>
      <c r="F271" t="inlineStr">
        <is>
          <t>JÖNKÖPINGS LÄN</t>
        </is>
      </c>
      <c r="G271" t="inlineStr">
        <is>
          <t>VAGGERYD</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18803-2026</t>
        </is>
      </c>
      <c r="B272" t="inlineStr">
        <is>
          <t>avverkningsanmälan</t>
        </is>
      </c>
      <c r="C272" t="inlineStr">
        <is>
          <t>Föryngringsavverkning</t>
        </is>
      </c>
      <c r="D272" s="1" t="n">
        <v>46128</v>
      </c>
      <c r="E272" s="1" t="n">
        <v>46221</v>
      </c>
      <c r="F272" t="inlineStr">
        <is>
          <t>JÖNKÖPINGS LÄN</t>
        </is>
      </c>
      <c r="G272" t="inlineStr">
        <is>
          <t>VAGGERYD</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9217-2022</t>
        </is>
      </c>
      <c r="B273" t="inlineStr">
        <is>
          <t>avverkningsanmälan</t>
        </is>
      </c>
      <c r="C273" t="inlineStr">
        <is>
          <t>Föryngringsavverkning</t>
        </is>
      </c>
      <c r="D273" s="1" t="n">
        <v>44616</v>
      </c>
      <c r="E273" s="1" t="n">
        <v>46221</v>
      </c>
      <c r="F273" t="inlineStr">
        <is>
          <t>JÖNKÖPINGS LÄN</t>
        </is>
      </c>
      <c r="G273" t="inlineStr">
        <is>
          <t>VAGGERYD</t>
        </is>
      </c>
      <c r="H273" t="inlineStr">
        <is>
          <t>Sveaskog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63412-2023</t>
        </is>
      </c>
      <c r="B274" t="inlineStr">
        <is>
          <t>avverkningsanmälan</t>
        </is>
      </c>
      <c r="C274" t="inlineStr">
        <is>
          <t>Föryngringsavverkning</t>
        </is>
      </c>
      <c r="D274" s="1" t="n">
        <v>45274</v>
      </c>
      <c r="E274" s="1" t="n">
        <v>46221</v>
      </c>
      <c r="F274" t="inlineStr">
        <is>
          <t>JÖNKÖPINGS LÄN</t>
        </is>
      </c>
      <c r="G274" t="inlineStr">
        <is>
          <t>VAGGERYD</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26688-2024</t>
        </is>
      </c>
      <c r="B275" t="inlineStr">
        <is>
          <t>avverkningsanmälan</t>
        </is>
      </c>
      <c r="C275" t="inlineStr">
        <is>
          <t>Föryngringsavverkning</t>
        </is>
      </c>
      <c r="D275" s="1" t="n">
        <v>45469</v>
      </c>
      <c r="E275" s="1" t="n">
        <v>46221</v>
      </c>
      <c r="F275" t="inlineStr">
        <is>
          <t>JÖNKÖPINGS LÄN</t>
        </is>
      </c>
      <c r="G275" t="inlineStr">
        <is>
          <t>VAGGERYD</t>
        </is>
      </c>
      <c r="I275" t="n">
        <v>7.1</v>
      </c>
      <c r="J275" t="n">
        <v>0</v>
      </c>
      <c r="K275" t="n">
        <v>0</v>
      </c>
      <c r="L275" t="n">
        <v>0</v>
      </c>
      <c r="M275" t="n">
        <v>0</v>
      </c>
      <c r="N275" t="n">
        <v>0</v>
      </c>
      <c r="O275" t="n">
        <v>0</v>
      </c>
      <c r="P275" t="n">
        <v>0</v>
      </c>
      <c r="Q275" t="n">
        <v>0</v>
      </c>
      <c r="R275" t="n">
        <v>0</v>
      </c>
      <c r="S275" t="n">
        <v>0</v>
      </c>
      <c r="T275" t="n">
        <v>0</v>
      </c>
      <c r="U275" s="2" t="inlineStr"/>
    </row>
    <row r="276" ht="15" customHeight="1">
      <c r="A276" t="inlineStr">
        <is>
          <t>A 42162-2025</t>
        </is>
      </c>
      <c r="B276" t="inlineStr">
        <is>
          <t>avverkningsanmälan</t>
        </is>
      </c>
      <c r="C276" t="inlineStr">
        <is>
          <t>Föryngringsavverkning</t>
        </is>
      </c>
      <c r="D276" s="1" t="n">
        <v>45904</v>
      </c>
      <c r="E276" s="1" t="n">
        <v>46221</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17512-2023</t>
        </is>
      </c>
      <c r="B277" t="inlineStr">
        <is>
          <t>avverkningsanmälan</t>
        </is>
      </c>
      <c r="C277" t="inlineStr">
        <is>
          <t>Föryngringsavverkning</t>
        </is>
      </c>
      <c r="D277" s="1" t="n">
        <v>45036</v>
      </c>
      <c r="E277" s="1" t="n">
        <v>46221</v>
      </c>
      <c r="F277" t="inlineStr">
        <is>
          <t>JÖNKÖPINGS LÄN</t>
        </is>
      </c>
      <c r="G277" t="inlineStr">
        <is>
          <t>VAGGERYD</t>
        </is>
      </c>
      <c r="I277" t="n">
        <v>4.2</v>
      </c>
      <c r="J277" t="n">
        <v>0</v>
      </c>
      <c r="K277" t="n">
        <v>0</v>
      </c>
      <c r="L277" t="n">
        <v>0</v>
      </c>
      <c r="M277" t="n">
        <v>0</v>
      </c>
      <c r="N277" t="n">
        <v>0</v>
      </c>
      <c r="O277" t="n">
        <v>0</v>
      </c>
      <c r="P277" t="n">
        <v>0</v>
      </c>
      <c r="Q277" t="n">
        <v>0</v>
      </c>
      <c r="R277" t="n">
        <v>0</v>
      </c>
      <c r="S277" t="n">
        <v>0</v>
      </c>
      <c r="T277" t="n">
        <v>0</v>
      </c>
      <c r="U277" s="2" t="inlineStr"/>
    </row>
    <row r="278" ht="15" customHeight="1">
      <c r="A278" t="inlineStr">
        <is>
          <t>A 73309-2021</t>
        </is>
      </c>
      <c r="B278" t="inlineStr">
        <is>
          <t>avverkningsanmälan</t>
        </is>
      </c>
      <c r="C278" t="inlineStr">
        <is>
          <t>Avverkning för annat ändamål</t>
        </is>
      </c>
      <c r="D278" s="1" t="n">
        <v>44551</v>
      </c>
      <c r="E278" s="1" t="n">
        <v>46221</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58923-2024</t>
        </is>
      </c>
      <c r="B279" t="inlineStr">
        <is>
          <t>avverkningsanmälan</t>
        </is>
      </c>
      <c r="C279" t="inlineStr">
        <is>
          <t>Föryngringsavverkning</t>
        </is>
      </c>
      <c r="D279" s="1" t="n">
        <v>45636</v>
      </c>
      <c r="E279" s="1" t="n">
        <v>46221</v>
      </c>
      <c r="F279" t="inlineStr">
        <is>
          <t>JÖNKÖPINGS LÄN</t>
        </is>
      </c>
      <c r="G279" t="inlineStr">
        <is>
          <t>VAGGERYD</t>
        </is>
      </c>
      <c r="H279" t="inlineStr">
        <is>
          <t>Sveaskog</t>
        </is>
      </c>
      <c r="I279" t="n">
        <v>9.5</v>
      </c>
      <c r="J279" t="n">
        <v>0</v>
      </c>
      <c r="K279" t="n">
        <v>0</v>
      </c>
      <c r="L279" t="n">
        <v>0</v>
      </c>
      <c r="M279" t="n">
        <v>0</v>
      </c>
      <c r="N279" t="n">
        <v>0</v>
      </c>
      <c r="O279" t="n">
        <v>0</v>
      </c>
      <c r="P279" t="n">
        <v>0</v>
      </c>
      <c r="Q279" t="n">
        <v>0</v>
      </c>
      <c r="R279" t="n">
        <v>0</v>
      </c>
      <c r="S279" t="n">
        <v>0</v>
      </c>
      <c r="T279" t="n">
        <v>0</v>
      </c>
      <c r="U279" s="2" t="inlineStr"/>
    </row>
    <row r="280" ht="15" customHeight="1">
      <c r="A280" t="inlineStr">
        <is>
          <t>A 58924-2024</t>
        </is>
      </c>
      <c r="B280" t="inlineStr">
        <is>
          <t>avverkningsanmälan</t>
        </is>
      </c>
      <c r="C280" t="inlineStr">
        <is>
          <t>Föryngringsavverkning</t>
        </is>
      </c>
      <c r="D280" s="1" t="n">
        <v>45636</v>
      </c>
      <c r="E280" s="1" t="n">
        <v>46221</v>
      </c>
      <c r="F280" t="inlineStr">
        <is>
          <t>JÖNKÖPINGS LÄN</t>
        </is>
      </c>
      <c r="G280" t="inlineStr">
        <is>
          <t>VAGGERYD</t>
        </is>
      </c>
      <c r="H280" t="inlineStr">
        <is>
          <t>Sveaskog</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39506-2024</t>
        </is>
      </c>
      <c r="B281" t="inlineStr">
        <is>
          <t>avverkningsanmälan</t>
        </is>
      </c>
      <c r="C281" t="inlineStr">
        <is>
          <t>Föryngringsavverkning</t>
        </is>
      </c>
      <c r="D281" s="1" t="n">
        <v>45551</v>
      </c>
      <c r="E281" s="1" t="n">
        <v>46221</v>
      </c>
      <c r="F281" t="inlineStr">
        <is>
          <t>JÖNKÖPINGS LÄN</t>
        </is>
      </c>
      <c r="G281" t="inlineStr">
        <is>
          <t>VAGGERYD</t>
        </is>
      </c>
      <c r="H281" t="inlineStr">
        <is>
          <t>Kommuner</t>
        </is>
      </c>
      <c r="I281" t="n">
        <v>3.8</v>
      </c>
      <c r="J281" t="n">
        <v>0</v>
      </c>
      <c r="K281" t="n">
        <v>0</v>
      </c>
      <c r="L281" t="n">
        <v>0</v>
      </c>
      <c r="M281" t="n">
        <v>0</v>
      </c>
      <c r="N281" t="n">
        <v>0</v>
      </c>
      <c r="O281" t="n">
        <v>0</v>
      </c>
      <c r="P281" t="n">
        <v>0</v>
      </c>
      <c r="Q281" t="n">
        <v>0</v>
      </c>
      <c r="R281" t="n">
        <v>0</v>
      </c>
      <c r="S281" t="n">
        <v>0</v>
      </c>
      <c r="T281" t="n">
        <v>0</v>
      </c>
      <c r="U281" s="2" t="inlineStr"/>
    </row>
    <row r="282" ht="15" customHeight="1">
      <c r="A282" t="inlineStr">
        <is>
          <t>A 40343-2023</t>
        </is>
      </c>
      <c r="B282" t="inlineStr">
        <is>
          <t>avverkningsanmälan</t>
        </is>
      </c>
      <c r="C282" t="inlineStr">
        <is>
          <t>Föryngringsavverkning</t>
        </is>
      </c>
      <c r="D282" s="1" t="n">
        <v>45169</v>
      </c>
      <c r="E282" s="1" t="n">
        <v>46221</v>
      </c>
      <c r="F282" t="inlineStr">
        <is>
          <t>JÖNKÖPINGS LÄN</t>
        </is>
      </c>
      <c r="G282" t="inlineStr">
        <is>
          <t>VAGGERYD</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6925-2025</t>
        </is>
      </c>
      <c r="B283" t="inlineStr">
        <is>
          <t>avverkningsanmälan</t>
        </is>
      </c>
      <c r="C283" t="inlineStr">
        <is>
          <t>Föryngringsavverkning</t>
        </is>
      </c>
      <c r="D283" s="1" t="n">
        <v>45701</v>
      </c>
      <c r="E283" s="1" t="n">
        <v>46221</v>
      </c>
      <c r="F283" t="inlineStr">
        <is>
          <t>JÖNKÖPINGS LÄN</t>
        </is>
      </c>
      <c r="G283" t="inlineStr">
        <is>
          <t>VAGGERYD</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36318-2023</t>
        </is>
      </c>
      <c r="B284" t="inlineStr">
        <is>
          <t>avverkningsanmälan</t>
        </is>
      </c>
      <c r="C284" t="inlineStr">
        <is>
          <t>Avverkning för annat ändamål</t>
        </is>
      </c>
      <c r="D284" s="1" t="n">
        <v>45149</v>
      </c>
      <c r="E284" s="1" t="n">
        <v>46221</v>
      </c>
      <c r="F284" t="inlineStr">
        <is>
          <t>JÖNKÖPINGS LÄN</t>
        </is>
      </c>
      <c r="G284" t="inlineStr">
        <is>
          <t>VAGGERYD</t>
        </is>
      </c>
      <c r="I284" t="n">
        <v>0.3</v>
      </c>
      <c r="J284" t="n">
        <v>0</v>
      </c>
      <c r="K284" t="n">
        <v>0</v>
      </c>
      <c r="L284" t="n">
        <v>0</v>
      </c>
      <c r="M284" t="n">
        <v>0</v>
      </c>
      <c r="N284" t="n">
        <v>0</v>
      </c>
      <c r="O284" t="n">
        <v>0</v>
      </c>
      <c r="P284" t="n">
        <v>0</v>
      </c>
      <c r="Q284" t="n">
        <v>0</v>
      </c>
      <c r="R284" t="n">
        <v>0</v>
      </c>
      <c r="S284" t="n">
        <v>0</v>
      </c>
      <c r="T284" t="n">
        <v>0</v>
      </c>
      <c r="U284" s="2" t="inlineStr"/>
    </row>
    <row r="285" ht="15" customHeight="1">
      <c r="A285" t="inlineStr">
        <is>
          <t>A 59018-2021</t>
        </is>
      </c>
      <c r="B285" t="inlineStr">
        <is>
          <t>avverkningsanmälan</t>
        </is>
      </c>
      <c r="C285" t="inlineStr">
        <is>
          <t>Föryngringsavverkning</t>
        </is>
      </c>
      <c r="D285" s="1" t="n">
        <v>44490</v>
      </c>
      <c r="E285" s="1" t="n">
        <v>46221</v>
      </c>
      <c r="F285" t="inlineStr">
        <is>
          <t>JÖNKÖPINGS LÄN</t>
        </is>
      </c>
      <c r="G285" t="inlineStr">
        <is>
          <t>VAGGERYD</t>
        </is>
      </c>
      <c r="H285" t="inlineStr">
        <is>
          <t>Sveaskog</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73527-2021</t>
        </is>
      </c>
      <c r="B286" t="inlineStr">
        <is>
          <t>avverkningsanmälan</t>
        </is>
      </c>
      <c r="C286" t="inlineStr">
        <is>
          <t>Avverkning för annat ändamål</t>
        </is>
      </c>
      <c r="D286" s="1" t="n">
        <v>44550</v>
      </c>
      <c r="E286" s="1" t="n">
        <v>46221</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58600-2024</t>
        </is>
      </c>
      <c r="B287" t="inlineStr">
        <is>
          <t>avverkningsanmälan</t>
        </is>
      </c>
      <c r="C287" t="inlineStr">
        <is>
          <t>Föryngringsavverkning</t>
        </is>
      </c>
      <c r="D287" s="1" t="n">
        <v>45635</v>
      </c>
      <c r="E287" s="1" t="n">
        <v>46221</v>
      </c>
      <c r="F287" t="inlineStr">
        <is>
          <t>JÖNKÖPINGS LÄN</t>
        </is>
      </c>
      <c r="G287" t="inlineStr">
        <is>
          <t>VAGGERYD</t>
        </is>
      </c>
      <c r="H287" t="inlineStr">
        <is>
          <t>Sveaskog</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16612-2025</t>
        </is>
      </c>
      <c r="B288" t="inlineStr">
        <is>
          <t>avverkningsanmälan</t>
        </is>
      </c>
      <c r="C288" t="inlineStr">
        <is>
          <t>Föryngringsavverkning</t>
        </is>
      </c>
      <c r="D288" s="1" t="n">
        <v>45753</v>
      </c>
      <c r="E288" s="1" t="n">
        <v>46221</v>
      </c>
      <c r="F288" t="inlineStr">
        <is>
          <t>JÖNKÖPINGS LÄN</t>
        </is>
      </c>
      <c r="G288" t="inlineStr">
        <is>
          <t>VAGGERYD</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44808-2023</t>
        </is>
      </c>
      <c r="B289" t="inlineStr">
        <is>
          <t>avverkningsanmälan</t>
        </is>
      </c>
      <c r="C289" t="inlineStr">
        <is>
          <t>Avverkning för annat ändamål</t>
        </is>
      </c>
      <c r="D289" s="1" t="n">
        <v>45190</v>
      </c>
      <c r="E289" s="1" t="n">
        <v>46221</v>
      </c>
      <c r="F289" t="inlineStr">
        <is>
          <t>JÖNKÖPINGS LÄN</t>
        </is>
      </c>
      <c r="G289" t="inlineStr">
        <is>
          <t>VAGGERYD</t>
        </is>
      </c>
      <c r="I289" t="n">
        <v>3.2</v>
      </c>
      <c r="J289" t="n">
        <v>0</v>
      </c>
      <c r="K289" t="n">
        <v>0</v>
      </c>
      <c r="L289" t="n">
        <v>0</v>
      </c>
      <c r="M289" t="n">
        <v>0</v>
      </c>
      <c r="N289" t="n">
        <v>0</v>
      </c>
      <c r="O289" t="n">
        <v>0</v>
      </c>
      <c r="P289" t="n">
        <v>0</v>
      </c>
      <c r="Q289" t="n">
        <v>0</v>
      </c>
      <c r="R289" t="n">
        <v>0</v>
      </c>
      <c r="S289" t="n">
        <v>0</v>
      </c>
      <c r="T289" t="n">
        <v>0</v>
      </c>
      <c r="U289" s="2" t="inlineStr"/>
    </row>
    <row r="290" ht="15" customHeight="1">
      <c r="A290" t="inlineStr">
        <is>
          <t>A 27461-2023</t>
        </is>
      </c>
      <c r="B290" t="inlineStr">
        <is>
          <t>avverkningsanmälan</t>
        </is>
      </c>
      <c r="C290" t="inlineStr">
        <is>
          <t>Föryngringsavverkning</t>
        </is>
      </c>
      <c r="D290" s="1" t="n">
        <v>45097</v>
      </c>
      <c r="E290" s="1" t="n">
        <v>46221</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40881-2024</t>
        </is>
      </c>
      <c r="B291" t="inlineStr">
        <is>
          <t>avverkningsanmälan</t>
        </is>
      </c>
      <c r="C291" t="inlineStr">
        <is>
          <t>Föryngringsavverkning</t>
        </is>
      </c>
      <c r="D291" s="1" t="n">
        <v>45558</v>
      </c>
      <c r="E291" s="1" t="n">
        <v>46221</v>
      </c>
      <c r="F291" t="inlineStr">
        <is>
          <t>JÖNKÖPINGS LÄN</t>
        </is>
      </c>
      <c r="G291" t="inlineStr">
        <is>
          <t>VAGGERYD</t>
        </is>
      </c>
      <c r="H291" t="inlineStr">
        <is>
          <t>Sveaskog</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19787-2023</t>
        </is>
      </c>
      <c r="B292" t="inlineStr">
        <is>
          <t>avverkningsanmälan</t>
        </is>
      </c>
      <c r="C292" t="inlineStr">
        <is>
          <t>Föryngringsavverkning</t>
        </is>
      </c>
      <c r="D292" s="1" t="n">
        <v>45051</v>
      </c>
      <c r="E292" s="1" t="n">
        <v>46221</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22983-2025</t>
        </is>
      </c>
      <c r="B293" t="inlineStr">
        <is>
          <t>avverkningsanmälan</t>
        </is>
      </c>
      <c r="C293" t="inlineStr">
        <is>
          <t>Föryngringsavverkning</t>
        </is>
      </c>
      <c r="D293" s="1" t="n">
        <v>45790</v>
      </c>
      <c r="E293" s="1" t="n">
        <v>46221</v>
      </c>
      <c r="F293" t="inlineStr">
        <is>
          <t>JÖNKÖPINGS LÄN</t>
        </is>
      </c>
      <c r="G293" t="inlineStr">
        <is>
          <t>VAGGERYD</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44002-2023</t>
        </is>
      </c>
      <c r="B294" t="inlineStr">
        <is>
          <t>avverkningsanmälan</t>
        </is>
      </c>
      <c r="C294" t="inlineStr">
        <is>
          <t>Avverkning för annat ändamål</t>
        </is>
      </c>
      <c r="D294" s="1" t="n">
        <v>45188</v>
      </c>
      <c r="E294" s="1" t="n">
        <v>46221</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5335-2025</t>
        </is>
      </c>
      <c r="B295" t="inlineStr">
        <is>
          <t>avverkningsanmälan</t>
        </is>
      </c>
      <c r="C295" t="inlineStr">
        <is>
          <t>Föryngringsavverkning</t>
        </is>
      </c>
      <c r="D295" s="1" t="n">
        <v>45659</v>
      </c>
      <c r="E295" s="1" t="n">
        <v>46221</v>
      </c>
      <c r="F295" t="inlineStr">
        <is>
          <t>JÖNKÖPINGS LÄN</t>
        </is>
      </c>
      <c r="G295" t="inlineStr">
        <is>
          <t>VAGGERYD</t>
        </is>
      </c>
      <c r="I295" t="n">
        <v>10.2</v>
      </c>
      <c r="J295" t="n">
        <v>0</v>
      </c>
      <c r="K295" t="n">
        <v>0</v>
      </c>
      <c r="L295" t="n">
        <v>0</v>
      </c>
      <c r="M295" t="n">
        <v>0</v>
      </c>
      <c r="N295" t="n">
        <v>0</v>
      </c>
      <c r="O295" t="n">
        <v>0</v>
      </c>
      <c r="P295" t="n">
        <v>0</v>
      </c>
      <c r="Q295" t="n">
        <v>0</v>
      </c>
      <c r="R295" t="n">
        <v>0</v>
      </c>
      <c r="S295" t="n">
        <v>0</v>
      </c>
      <c r="T295" t="n">
        <v>0</v>
      </c>
      <c r="U295" s="2" t="inlineStr"/>
    </row>
    <row r="296" ht="15" customHeight="1">
      <c r="A296" t="inlineStr">
        <is>
          <t>A 41379-2025</t>
        </is>
      </c>
      <c r="B296" t="inlineStr">
        <is>
          <t>avverkningsanmälan</t>
        </is>
      </c>
      <c r="C296" t="inlineStr">
        <is>
          <t>Föryngringsavverkning</t>
        </is>
      </c>
      <c r="D296" s="1" t="n">
        <v>45900</v>
      </c>
      <c r="E296" s="1" t="n">
        <v>46221</v>
      </c>
      <c r="F296" t="inlineStr">
        <is>
          <t>JÖNKÖPINGS LÄN</t>
        </is>
      </c>
      <c r="G296" t="inlineStr">
        <is>
          <t>VAGGERYD</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2653-2025</t>
        </is>
      </c>
      <c r="B297" t="inlineStr">
        <is>
          <t>avverkningsanmälan</t>
        </is>
      </c>
      <c r="C297" t="inlineStr">
        <is>
          <t>Föryngringsavverkning</t>
        </is>
      </c>
      <c r="D297" s="1" t="n">
        <v>45676</v>
      </c>
      <c r="E297" s="1" t="n">
        <v>46221</v>
      </c>
      <c r="F297" t="inlineStr">
        <is>
          <t>JÖNKÖPINGS LÄN</t>
        </is>
      </c>
      <c r="G297" t="inlineStr">
        <is>
          <t>VAGGERYD</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6105-2025</t>
        </is>
      </c>
      <c r="B298" t="inlineStr">
        <is>
          <t>avverkningsanmälan</t>
        </is>
      </c>
      <c r="C298" t="inlineStr">
        <is>
          <t>Föryngringsavverkning</t>
        </is>
      </c>
      <c r="D298" s="1" t="n">
        <v>45697</v>
      </c>
      <c r="E298" s="1" t="n">
        <v>46221</v>
      </c>
      <c r="F298" t="inlineStr">
        <is>
          <t>JÖNKÖPINGS LÄN</t>
        </is>
      </c>
      <c r="G298" t="inlineStr">
        <is>
          <t>VAGGERYD</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61961-2024</t>
        </is>
      </c>
      <c r="B299" t="inlineStr">
        <is>
          <t>avverkningsanmälan</t>
        </is>
      </c>
      <c r="C299" t="inlineStr">
        <is>
          <t>Föryngringsavverkning</t>
        </is>
      </c>
      <c r="D299" s="1" t="n">
        <v>45653</v>
      </c>
      <c r="E299" s="1" t="n">
        <v>46221</v>
      </c>
      <c r="F299" t="inlineStr">
        <is>
          <t>JÖNKÖPINGS LÄN</t>
        </is>
      </c>
      <c r="G299" t="inlineStr">
        <is>
          <t>VAGGERYD</t>
        </is>
      </c>
      <c r="H299" t="inlineStr">
        <is>
          <t>Sveaskog</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17603-2025</t>
        </is>
      </c>
      <c r="B300" t="inlineStr">
        <is>
          <t>avverkningsanmälan</t>
        </is>
      </c>
      <c r="C300" t="inlineStr">
        <is>
          <t>Föryngringsavverkning</t>
        </is>
      </c>
      <c r="D300" s="1" t="n">
        <v>45757</v>
      </c>
      <c r="E300" s="1" t="n">
        <v>46221</v>
      </c>
      <c r="F300" t="inlineStr">
        <is>
          <t>JÖNKÖPINGS LÄN</t>
        </is>
      </c>
      <c r="G300" t="inlineStr">
        <is>
          <t>VAGGERYD</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34094-2025</t>
        </is>
      </c>
      <c r="B301" t="inlineStr">
        <is>
          <t>avverkningsanmälan</t>
        </is>
      </c>
      <c r="C301" t="inlineStr">
        <is>
          <t>Föryngringsavverkning</t>
        </is>
      </c>
      <c r="D301" s="1" t="n">
        <v>45845</v>
      </c>
      <c r="E301" s="1" t="n">
        <v>46221</v>
      </c>
      <c r="F301" t="inlineStr">
        <is>
          <t>JÖNKÖPINGS LÄN</t>
        </is>
      </c>
      <c r="G301" t="inlineStr">
        <is>
          <t>VAGGERYD</t>
        </is>
      </c>
      <c r="I301" t="n">
        <v>14.5</v>
      </c>
      <c r="J301" t="n">
        <v>0</v>
      </c>
      <c r="K301" t="n">
        <v>0</v>
      </c>
      <c r="L301" t="n">
        <v>0</v>
      </c>
      <c r="M301" t="n">
        <v>0</v>
      </c>
      <c r="N301" t="n">
        <v>0</v>
      </c>
      <c r="O301" t="n">
        <v>0</v>
      </c>
      <c r="P301" t="n">
        <v>0</v>
      </c>
      <c r="Q301" t="n">
        <v>0</v>
      </c>
      <c r="R301" t="n">
        <v>0</v>
      </c>
      <c r="S301" t="n">
        <v>0</v>
      </c>
      <c r="T301" t="n">
        <v>0</v>
      </c>
      <c r="U301" s="2" t="inlineStr"/>
    </row>
    <row r="302" ht="15" customHeight="1">
      <c r="A302" t="inlineStr">
        <is>
          <t>A 58267-2025</t>
        </is>
      </c>
      <c r="B302" t="inlineStr">
        <is>
          <t>avverkningsanmälan</t>
        </is>
      </c>
      <c r="C302" t="inlineStr">
        <is>
          <t>Avverkning för annat ändamål</t>
        </is>
      </c>
      <c r="D302" s="1" t="n">
        <v>45985</v>
      </c>
      <c r="E302" s="1" t="n">
        <v>46221</v>
      </c>
      <c r="F302" t="inlineStr">
        <is>
          <t>JÖNKÖPINGS LÄN</t>
        </is>
      </c>
      <c r="G302" t="inlineStr">
        <is>
          <t>VAGGERYD</t>
        </is>
      </c>
      <c r="I302" t="n">
        <v>3.9</v>
      </c>
      <c r="J302" t="n">
        <v>0</v>
      </c>
      <c r="K302" t="n">
        <v>0</v>
      </c>
      <c r="L302" t="n">
        <v>0</v>
      </c>
      <c r="M302" t="n">
        <v>0</v>
      </c>
      <c r="N302" t="n">
        <v>0</v>
      </c>
      <c r="O302" t="n">
        <v>0</v>
      </c>
      <c r="P302" t="n">
        <v>0</v>
      </c>
      <c r="Q302" t="n">
        <v>0</v>
      </c>
      <c r="R302" t="n">
        <v>0</v>
      </c>
      <c r="S302" t="n">
        <v>0</v>
      </c>
      <c r="T302" t="n">
        <v>0</v>
      </c>
      <c r="U302" s="2" t="inlineStr"/>
    </row>
    <row r="303" ht="15" customHeight="1">
      <c r="A303" t="inlineStr">
        <is>
          <t>A 12664-2022</t>
        </is>
      </c>
      <c r="B303" t="inlineStr">
        <is>
          <t>avverkningsanmälan</t>
        </is>
      </c>
      <c r="C303" t="inlineStr">
        <is>
          <t>Avverkning för annat ändamål</t>
        </is>
      </c>
      <c r="D303" s="1" t="n">
        <v>44641</v>
      </c>
      <c r="E303" s="1" t="n">
        <v>46221</v>
      </c>
      <c r="F303" t="inlineStr">
        <is>
          <t>JÖNKÖPINGS LÄN</t>
        </is>
      </c>
      <c r="G303" t="inlineStr">
        <is>
          <t>VAGGERYD</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17340-2024</t>
        </is>
      </c>
      <c r="B304" t="inlineStr">
        <is>
          <t>avverkningsanmälan</t>
        </is>
      </c>
      <c r="C304" t="inlineStr">
        <is>
          <t>Föryngringsavverkning</t>
        </is>
      </c>
      <c r="D304" s="1" t="n">
        <v>45414</v>
      </c>
      <c r="E304" s="1" t="n">
        <v>46221</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3113-2025</t>
        </is>
      </c>
      <c r="B305" t="inlineStr">
        <is>
          <t>avverkningsanmälan</t>
        </is>
      </c>
      <c r="C305" t="inlineStr">
        <is>
          <t>Föryngringsavverkning</t>
        </is>
      </c>
      <c r="D305" s="1" t="n">
        <v>45678</v>
      </c>
      <c r="E305" s="1" t="n">
        <v>46221</v>
      </c>
      <c r="F305" t="inlineStr">
        <is>
          <t>JÖNKÖPINGS LÄN</t>
        </is>
      </c>
      <c r="G305" t="inlineStr">
        <is>
          <t>VAGGERYD</t>
        </is>
      </c>
      <c r="I305" t="n">
        <v>3</v>
      </c>
      <c r="J305" t="n">
        <v>0</v>
      </c>
      <c r="K305" t="n">
        <v>0</v>
      </c>
      <c r="L305" t="n">
        <v>0</v>
      </c>
      <c r="M305" t="n">
        <v>0</v>
      </c>
      <c r="N305" t="n">
        <v>0</v>
      </c>
      <c r="O305" t="n">
        <v>0</v>
      </c>
      <c r="P305" t="n">
        <v>0</v>
      </c>
      <c r="Q305" t="n">
        <v>0</v>
      </c>
      <c r="R305" t="n">
        <v>0</v>
      </c>
      <c r="S305" t="n">
        <v>0</v>
      </c>
      <c r="T305" t="n">
        <v>0</v>
      </c>
      <c r="U305" s="2" t="inlineStr"/>
    </row>
    <row r="306" ht="15" customHeight="1">
      <c r="A306" t="inlineStr">
        <is>
          <t>A 61915-2023</t>
        </is>
      </c>
      <c r="B306" t="inlineStr">
        <is>
          <t>avverkningsanmälan</t>
        </is>
      </c>
      <c r="C306" t="inlineStr">
        <is>
          <t>Föryngringsavverkning</t>
        </is>
      </c>
      <c r="D306" s="1" t="n">
        <v>45266</v>
      </c>
      <c r="E306" s="1" t="n">
        <v>46221</v>
      </c>
      <c r="F306" t="inlineStr">
        <is>
          <t>JÖNKÖPINGS LÄN</t>
        </is>
      </c>
      <c r="G306" t="inlineStr">
        <is>
          <t>VAGGERYD</t>
        </is>
      </c>
      <c r="I306" t="n">
        <v>4.6</v>
      </c>
      <c r="J306" t="n">
        <v>0</v>
      </c>
      <c r="K306" t="n">
        <v>0</v>
      </c>
      <c r="L306" t="n">
        <v>0</v>
      </c>
      <c r="M306" t="n">
        <v>0</v>
      </c>
      <c r="N306" t="n">
        <v>0</v>
      </c>
      <c r="O306" t="n">
        <v>0</v>
      </c>
      <c r="P306" t="n">
        <v>0</v>
      </c>
      <c r="Q306" t="n">
        <v>0</v>
      </c>
      <c r="R306" t="n">
        <v>0</v>
      </c>
      <c r="S306" t="n">
        <v>0</v>
      </c>
      <c r="T306" t="n">
        <v>0</v>
      </c>
      <c r="U306" s="2" t="inlineStr"/>
    </row>
    <row r="307" ht="15" customHeight="1">
      <c r="A307" t="inlineStr">
        <is>
          <t>A 54747-2023</t>
        </is>
      </c>
      <c r="B307" t="inlineStr">
        <is>
          <t>avverkningsanmälan</t>
        </is>
      </c>
      <c r="C307" t="inlineStr">
        <is>
          <t>Föryngringsavverkning</t>
        </is>
      </c>
      <c r="D307" s="1" t="n">
        <v>45236</v>
      </c>
      <c r="E307" s="1" t="n">
        <v>46221</v>
      </c>
      <c r="F307" t="inlineStr">
        <is>
          <t>JÖNKÖPINGS LÄN</t>
        </is>
      </c>
      <c r="G307" t="inlineStr">
        <is>
          <t>VAGGERYD</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49510-2023</t>
        </is>
      </c>
      <c r="B308" t="inlineStr">
        <is>
          <t>avverkningsanmälan</t>
        </is>
      </c>
      <c r="C308" t="inlineStr">
        <is>
          <t>Avverkning för att bevara och utveckla /försöksver</t>
        </is>
      </c>
      <c r="D308" s="1" t="n">
        <v>45211</v>
      </c>
      <c r="E308" s="1" t="n">
        <v>46221</v>
      </c>
      <c r="F308" t="inlineStr">
        <is>
          <t>JÖNKÖPINGS LÄN</t>
        </is>
      </c>
      <c r="G308" t="inlineStr">
        <is>
          <t>VAGGERYD</t>
        </is>
      </c>
      <c r="H308" t="inlineStr">
        <is>
          <t>Sveaskog</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49521-2023</t>
        </is>
      </c>
      <c r="B309" t="inlineStr">
        <is>
          <t>avverkningsanmälan</t>
        </is>
      </c>
      <c r="C309" t="inlineStr">
        <is>
          <t>Föryngringsavverkning</t>
        </is>
      </c>
      <c r="D309" s="1" t="n">
        <v>45211</v>
      </c>
      <c r="E309" s="1" t="n">
        <v>46221</v>
      </c>
      <c r="F309" t="inlineStr">
        <is>
          <t>JÖNKÖPINGS LÄN</t>
        </is>
      </c>
      <c r="G309" t="inlineStr">
        <is>
          <t>VAGGERYD</t>
        </is>
      </c>
      <c r="H309" t="inlineStr">
        <is>
          <t>Sveaskog</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43704-2023</t>
        </is>
      </c>
      <c r="B310" t="inlineStr">
        <is>
          <t>avverkningsanmälan</t>
        </is>
      </c>
      <c r="C310" t="inlineStr">
        <is>
          <t>Föryngringsavverkning</t>
        </is>
      </c>
      <c r="D310" s="1" t="n">
        <v>45187</v>
      </c>
      <c r="E310" s="1" t="n">
        <v>46221</v>
      </c>
      <c r="F310" t="inlineStr">
        <is>
          <t>JÖNKÖPINGS LÄN</t>
        </is>
      </c>
      <c r="G310" t="inlineStr">
        <is>
          <t>VAGGERYD</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20251-2025</t>
        </is>
      </c>
      <c r="B311" t="inlineStr">
        <is>
          <t>avverkningsanmälan</t>
        </is>
      </c>
      <c r="C311" t="inlineStr">
        <is>
          <t>Avverkning för annat ändamål</t>
        </is>
      </c>
      <c r="D311" s="1" t="n">
        <v>45772</v>
      </c>
      <c r="E311" s="1" t="n">
        <v>46221</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33237-2022</t>
        </is>
      </c>
      <c r="B312" t="inlineStr">
        <is>
          <t>avverkningsanmälan</t>
        </is>
      </c>
      <c r="C312" t="inlineStr">
        <is>
          <t>Föryngringsavverkning</t>
        </is>
      </c>
      <c r="D312" s="1" t="n">
        <v>44786</v>
      </c>
      <c r="E312" s="1" t="n">
        <v>46221</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40706-2022</t>
        </is>
      </c>
      <c r="B313" t="inlineStr">
        <is>
          <t>avverkningsanmälan</t>
        </is>
      </c>
      <c r="C313" t="inlineStr">
        <is>
          <t>Föryngringsavverkning</t>
        </is>
      </c>
      <c r="D313" s="1" t="n">
        <v>44824</v>
      </c>
      <c r="E313" s="1" t="n">
        <v>46221</v>
      </c>
      <c r="F313" t="inlineStr">
        <is>
          <t>JÖNKÖPINGS LÄN</t>
        </is>
      </c>
      <c r="G313" t="inlineStr">
        <is>
          <t>VAGGERYD</t>
        </is>
      </c>
      <c r="I313" t="n">
        <v>7.3</v>
      </c>
      <c r="J313" t="n">
        <v>0</v>
      </c>
      <c r="K313" t="n">
        <v>0</v>
      </c>
      <c r="L313" t="n">
        <v>0</v>
      </c>
      <c r="M313" t="n">
        <v>0</v>
      </c>
      <c r="N313" t="n">
        <v>0</v>
      </c>
      <c r="O313" t="n">
        <v>0</v>
      </c>
      <c r="P313" t="n">
        <v>0</v>
      </c>
      <c r="Q313" t="n">
        <v>0</v>
      </c>
      <c r="R313" t="n">
        <v>0</v>
      </c>
      <c r="S313" t="n">
        <v>0</v>
      </c>
      <c r="T313" t="n">
        <v>0</v>
      </c>
      <c r="U313" s="2" t="inlineStr"/>
    </row>
    <row r="314" ht="15" customHeight="1">
      <c r="A314" t="inlineStr">
        <is>
          <t>A 43676-2023</t>
        </is>
      </c>
      <c r="B314" t="inlineStr">
        <is>
          <t>avverkningsanmälan</t>
        </is>
      </c>
      <c r="C314" t="inlineStr">
        <is>
          <t>Föryngringsavverkning</t>
        </is>
      </c>
      <c r="D314" s="1" t="n">
        <v>45187</v>
      </c>
      <c r="E314" s="1" t="n">
        <v>46221</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16610-2025</t>
        </is>
      </c>
      <c r="B315" t="inlineStr">
        <is>
          <t>avverkningsanmälan</t>
        </is>
      </c>
      <c r="C315" t="inlineStr">
        <is>
          <t>Föryngringsavverkning</t>
        </is>
      </c>
      <c r="D315" s="1" t="n">
        <v>45753</v>
      </c>
      <c r="E315" s="1" t="n">
        <v>46221</v>
      </c>
      <c r="F315" t="inlineStr">
        <is>
          <t>JÖNKÖPINGS LÄN</t>
        </is>
      </c>
      <c r="G315" t="inlineStr">
        <is>
          <t>VAGGERYD</t>
        </is>
      </c>
      <c r="H315" t="inlineStr">
        <is>
          <t>Sveaskog</t>
        </is>
      </c>
      <c r="I315" t="n">
        <v>5.8</v>
      </c>
      <c r="J315" t="n">
        <v>0</v>
      </c>
      <c r="K315" t="n">
        <v>0</v>
      </c>
      <c r="L315" t="n">
        <v>0</v>
      </c>
      <c r="M315" t="n">
        <v>0</v>
      </c>
      <c r="N315" t="n">
        <v>0</v>
      </c>
      <c r="O315" t="n">
        <v>0</v>
      </c>
      <c r="P315" t="n">
        <v>0</v>
      </c>
      <c r="Q315" t="n">
        <v>0</v>
      </c>
      <c r="R315" t="n">
        <v>0</v>
      </c>
      <c r="S315" t="n">
        <v>0</v>
      </c>
      <c r="T315" t="n">
        <v>0</v>
      </c>
      <c r="U315" s="2" t="inlineStr"/>
    </row>
    <row r="316" ht="15" customHeight="1">
      <c r="A316" t="inlineStr">
        <is>
          <t>A 53186-2023</t>
        </is>
      </c>
      <c r="B316" t="inlineStr">
        <is>
          <t>avverkningsanmälan</t>
        </is>
      </c>
      <c r="C316" t="inlineStr">
        <is>
          <t>Föryngringsavverkning</t>
        </is>
      </c>
      <c r="D316" s="1" t="n">
        <v>45229</v>
      </c>
      <c r="E316" s="1" t="n">
        <v>46221</v>
      </c>
      <c r="F316" t="inlineStr">
        <is>
          <t>JÖNKÖPINGS LÄN</t>
        </is>
      </c>
      <c r="G316" t="inlineStr">
        <is>
          <t>VAGGERYD</t>
        </is>
      </c>
      <c r="I316" t="n">
        <v>7.7</v>
      </c>
      <c r="J316" t="n">
        <v>0</v>
      </c>
      <c r="K316" t="n">
        <v>0</v>
      </c>
      <c r="L316" t="n">
        <v>0</v>
      </c>
      <c r="M316" t="n">
        <v>0</v>
      </c>
      <c r="N316" t="n">
        <v>0</v>
      </c>
      <c r="O316" t="n">
        <v>0</v>
      </c>
      <c r="P316" t="n">
        <v>0</v>
      </c>
      <c r="Q316" t="n">
        <v>0</v>
      </c>
      <c r="R316" t="n">
        <v>0</v>
      </c>
      <c r="S316" t="n">
        <v>0</v>
      </c>
      <c r="T316" t="n">
        <v>0</v>
      </c>
      <c r="U316" s="2" t="inlineStr"/>
    </row>
    <row r="317" ht="15" customHeight="1">
      <c r="A317" t="inlineStr">
        <is>
          <t>A 56370-2023</t>
        </is>
      </c>
      <c r="B317" t="inlineStr">
        <is>
          <t>avverkningsanmälan</t>
        </is>
      </c>
      <c r="C317" t="inlineStr">
        <is>
          <t>Föryngringsavverkning</t>
        </is>
      </c>
      <c r="D317" s="1" t="n">
        <v>45243</v>
      </c>
      <c r="E317" s="1" t="n">
        <v>46221</v>
      </c>
      <c r="F317" t="inlineStr">
        <is>
          <t>JÖNKÖPINGS LÄN</t>
        </is>
      </c>
      <c r="G317" t="inlineStr">
        <is>
          <t>VAGGERYD</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62032-2023</t>
        </is>
      </c>
      <c r="B318" t="inlineStr">
        <is>
          <t>avverkningsanmälan</t>
        </is>
      </c>
      <c r="C318" t="inlineStr">
        <is>
          <t>Föryngringsavverkning</t>
        </is>
      </c>
      <c r="D318" s="1" t="n">
        <v>45265</v>
      </c>
      <c r="E318" s="1" t="n">
        <v>46221</v>
      </c>
      <c r="F318" t="inlineStr">
        <is>
          <t>JÖNKÖPINGS LÄN</t>
        </is>
      </c>
      <c r="G318" t="inlineStr">
        <is>
          <t>VAGGERYD</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16096-2025</t>
        </is>
      </c>
      <c r="B319" t="inlineStr">
        <is>
          <t>avverkningsanmälan</t>
        </is>
      </c>
      <c r="C319" t="inlineStr">
        <is>
          <t>Föryngringsavverkning</t>
        </is>
      </c>
      <c r="D319" s="1" t="n">
        <v>45749</v>
      </c>
      <c r="E319" s="1" t="n">
        <v>46221</v>
      </c>
      <c r="F319" t="inlineStr">
        <is>
          <t>JÖNKÖPINGS LÄN</t>
        </is>
      </c>
      <c r="G319" t="inlineStr">
        <is>
          <t>VAGGERYD</t>
        </is>
      </c>
      <c r="H319" t="inlineStr">
        <is>
          <t>Sveaskog</t>
        </is>
      </c>
      <c r="I319" t="n">
        <v>7.8</v>
      </c>
      <c r="J319" t="n">
        <v>0</v>
      </c>
      <c r="K319" t="n">
        <v>0</v>
      </c>
      <c r="L319" t="n">
        <v>0</v>
      </c>
      <c r="M319" t="n">
        <v>0</v>
      </c>
      <c r="N319" t="n">
        <v>0</v>
      </c>
      <c r="O319" t="n">
        <v>0</v>
      </c>
      <c r="P319" t="n">
        <v>0</v>
      </c>
      <c r="Q319" t="n">
        <v>0</v>
      </c>
      <c r="R319" t="n">
        <v>0</v>
      </c>
      <c r="S319" t="n">
        <v>0</v>
      </c>
      <c r="T319" t="n">
        <v>0</v>
      </c>
      <c r="U319" s="2" t="inlineStr"/>
    </row>
    <row r="320" ht="15" customHeight="1">
      <c r="A320" t="inlineStr">
        <is>
          <t>A 2883-2024</t>
        </is>
      </c>
      <c r="B320" t="inlineStr">
        <is>
          <t>avverkningsanmälan</t>
        </is>
      </c>
      <c r="C320" t="inlineStr">
        <is>
          <t>Avverkning för annat ändamål</t>
        </is>
      </c>
      <c r="D320" s="1" t="n">
        <v>45315</v>
      </c>
      <c r="E320" s="1" t="n">
        <v>46221</v>
      </c>
      <c r="F320" t="inlineStr">
        <is>
          <t>JÖNKÖPINGS LÄN</t>
        </is>
      </c>
      <c r="G320" t="inlineStr">
        <is>
          <t>VAGGERYD</t>
        </is>
      </c>
      <c r="I320" t="n">
        <v>12.2</v>
      </c>
      <c r="J320" t="n">
        <v>0</v>
      </c>
      <c r="K320" t="n">
        <v>0</v>
      </c>
      <c r="L320" t="n">
        <v>0</v>
      </c>
      <c r="M320" t="n">
        <v>0</v>
      </c>
      <c r="N320" t="n">
        <v>0</v>
      </c>
      <c r="O320" t="n">
        <v>0</v>
      </c>
      <c r="P320" t="n">
        <v>0</v>
      </c>
      <c r="Q320" t="n">
        <v>0</v>
      </c>
      <c r="R320" t="n">
        <v>0</v>
      </c>
      <c r="S320" t="n">
        <v>0</v>
      </c>
      <c r="T320" t="n">
        <v>0</v>
      </c>
      <c r="U320" s="2" t="inlineStr"/>
    </row>
    <row r="321" ht="15" customHeight="1">
      <c r="A321" t="inlineStr">
        <is>
          <t>A 55705-2023</t>
        </is>
      </c>
      <c r="B321" t="inlineStr">
        <is>
          <t>avverkningsanmälan</t>
        </is>
      </c>
      <c r="C321" t="inlineStr">
        <is>
          <t>Föryngringsavverkning</t>
        </is>
      </c>
      <c r="D321" s="1" t="n">
        <v>45239</v>
      </c>
      <c r="E321" s="1" t="n">
        <v>46221</v>
      </c>
      <c r="F321" t="inlineStr">
        <is>
          <t>JÖNKÖPINGS LÄN</t>
        </is>
      </c>
      <c r="G321" t="inlineStr">
        <is>
          <t>VAGGERYD</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2796-2024</t>
        </is>
      </c>
      <c r="B322" t="inlineStr">
        <is>
          <t>avverkningsanmälan</t>
        </is>
      </c>
      <c r="C322" t="inlineStr">
        <is>
          <t>Föryngringsavverkning</t>
        </is>
      </c>
      <c r="D322" s="1" t="n">
        <v>45314</v>
      </c>
      <c r="E322" s="1" t="n">
        <v>46221</v>
      </c>
      <c r="F322" t="inlineStr">
        <is>
          <t>JÖNKÖPINGS LÄN</t>
        </is>
      </c>
      <c r="G322" t="inlineStr">
        <is>
          <t>VAGGERYD</t>
        </is>
      </c>
      <c r="I322" t="n">
        <v>4.3</v>
      </c>
      <c r="J322" t="n">
        <v>0</v>
      </c>
      <c r="K322" t="n">
        <v>0</v>
      </c>
      <c r="L322" t="n">
        <v>0</v>
      </c>
      <c r="M322" t="n">
        <v>0</v>
      </c>
      <c r="N322" t="n">
        <v>0</v>
      </c>
      <c r="O322" t="n">
        <v>0</v>
      </c>
      <c r="P322" t="n">
        <v>0</v>
      </c>
      <c r="Q322" t="n">
        <v>0</v>
      </c>
      <c r="R322" t="n">
        <v>0</v>
      </c>
      <c r="S322" t="n">
        <v>0</v>
      </c>
      <c r="T322" t="n">
        <v>0</v>
      </c>
      <c r="U322" s="2" t="inlineStr"/>
    </row>
    <row r="323" ht="15" customHeight="1">
      <c r="A323" t="inlineStr">
        <is>
          <t>A 27470-2026</t>
        </is>
      </c>
      <c r="B323" t="inlineStr">
        <is>
          <t>avverkningsanmälan</t>
        </is>
      </c>
      <c r="C323" t="inlineStr">
        <is>
          <t>Föryngringsavverkning</t>
        </is>
      </c>
      <c r="D323" s="1" t="n">
        <v>46189</v>
      </c>
      <c r="E323" s="1" t="n">
        <v>46221</v>
      </c>
      <c r="F323" t="inlineStr">
        <is>
          <t>JÖNKÖPINGS LÄN</t>
        </is>
      </c>
      <c r="G323" t="inlineStr">
        <is>
          <t>VAGGERYD</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27471-2026</t>
        </is>
      </c>
      <c r="B324" t="inlineStr">
        <is>
          <t>avverkningsanmälan</t>
        </is>
      </c>
      <c r="C324" t="inlineStr">
        <is>
          <t>Föryngringsavverkning</t>
        </is>
      </c>
      <c r="D324" s="1" t="n">
        <v>46189</v>
      </c>
      <c r="E324" s="1" t="n">
        <v>46221</v>
      </c>
      <c r="F324" t="inlineStr">
        <is>
          <t>JÖNKÖPINGS LÄN</t>
        </is>
      </c>
      <c r="G324" t="inlineStr">
        <is>
          <t>VAGGERYD</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8538-2024</t>
        </is>
      </c>
      <c r="B325" t="inlineStr">
        <is>
          <t>avverkningsanmälan</t>
        </is>
      </c>
      <c r="C325" t="inlineStr">
        <is>
          <t>Föryngringsavverkning</t>
        </is>
      </c>
      <c r="D325" s="1" t="n">
        <v>45355</v>
      </c>
      <c r="E325" s="1" t="n">
        <v>46221</v>
      </c>
      <c r="F325" t="inlineStr">
        <is>
          <t>JÖNKÖPINGS LÄN</t>
        </is>
      </c>
      <c r="G325" t="inlineStr">
        <is>
          <t>VAGGERYD</t>
        </is>
      </c>
      <c r="H325" t="inlineStr">
        <is>
          <t>Sveaskog</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60366-2021</t>
        </is>
      </c>
      <c r="B326" t="inlineStr">
        <is>
          <t>avverkningsanmälan</t>
        </is>
      </c>
      <c r="C326" t="inlineStr">
        <is>
          <t>Föryngringsavverkning</t>
        </is>
      </c>
      <c r="D326" s="1" t="n">
        <v>44496</v>
      </c>
      <c r="E326" s="1" t="n">
        <v>46221</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39758-2022</t>
        </is>
      </c>
      <c r="B327" t="inlineStr">
        <is>
          <t>avverkningsanmälan</t>
        </is>
      </c>
      <c r="C327" t="inlineStr">
        <is>
          <t>Föryngringsavverkning</t>
        </is>
      </c>
      <c r="D327" s="1" t="n">
        <v>44819</v>
      </c>
      <c r="E327" s="1" t="n">
        <v>46221</v>
      </c>
      <c r="F327" t="inlineStr">
        <is>
          <t>JÖNKÖPINGS LÄN</t>
        </is>
      </c>
      <c r="G327" t="inlineStr">
        <is>
          <t>VAGGERYD</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762-2024</t>
        </is>
      </c>
      <c r="B328" t="inlineStr">
        <is>
          <t>avverkningsanmälan</t>
        </is>
      </c>
      <c r="C328" t="inlineStr">
        <is>
          <t>Föryngringsavverkning</t>
        </is>
      </c>
      <c r="D328" s="1" t="n">
        <v>45300</v>
      </c>
      <c r="E328" s="1" t="n">
        <v>46221</v>
      </c>
      <c r="F328" t="inlineStr">
        <is>
          <t>JÖNKÖPINGS LÄN</t>
        </is>
      </c>
      <c r="G328" t="inlineStr">
        <is>
          <t>VAGGERYD</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15423-2024</t>
        </is>
      </c>
      <c r="B329" t="inlineStr">
        <is>
          <t>avverkningsanmälan</t>
        </is>
      </c>
      <c r="C329" t="inlineStr">
        <is>
          <t>Föryngringsavverkning</t>
        </is>
      </c>
      <c r="D329" s="1" t="n">
        <v>45401</v>
      </c>
      <c r="E329" s="1" t="n">
        <v>46221</v>
      </c>
      <c r="F329" t="inlineStr">
        <is>
          <t>JÖNKÖPINGS LÄN</t>
        </is>
      </c>
      <c r="G329" t="inlineStr">
        <is>
          <t>VAGGERYD</t>
        </is>
      </c>
      <c r="I329" t="n">
        <v>6.6</v>
      </c>
      <c r="J329" t="n">
        <v>0</v>
      </c>
      <c r="K329" t="n">
        <v>0</v>
      </c>
      <c r="L329" t="n">
        <v>0</v>
      </c>
      <c r="M329" t="n">
        <v>0</v>
      </c>
      <c r="N329" t="n">
        <v>0</v>
      </c>
      <c r="O329" t="n">
        <v>0</v>
      </c>
      <c r="P329" t="n">
        <v>0</v>
      </c>
      <c r="Q329" t="n">
        <v>0</v>
      </c>
      <c r="R329" t="n">
        <v>0</v>
      </c>
      <c r="S329" t="n">
        <v>0</v>
      </c>
      <c r="T329" t="n">
        <v>0</v>
      </c>
      <c r="U329" s="2" t="inlineStr"/>
    </row>
    <row r="330" ht="15" customHeight="1">
      <c r="A330" t="inlineStr">
        <is>
          <t>A 71537-2021</t>
        </is>
      </c>
      <c r="B330" t="inlineStr">
        <is>
          <t>avverkningsanmälan</t>
        </is>
      </c>
      <c r="C330" t="inlineStr">
        <is>
          <t>Föryngringsavverkning</t>
        </is>
      </c>
      <c r="D330" s="1" t="n">
        <v>44540</v>
      </c>
      <c r="E330" s="1" t="n">
        <v>46221</v>
      </c>
      <c r="F330" t="inlineStr">
        <is>
          <t>JÖNKÖPINGS LÄN</t>
        </is>
      </c>
      <c r="G330" t="inlineStr">
        <is>
          <t>VAGGERYD</t>
        </is>
      </c>
      <c r="H330" t="inlineStr">
        <is>
          <t>Sveaskog</t>
        </is>
      </c>
      <c r="I330" t="n">
        <v>2.5</v>
      </c>
      <c r="J330" t="n">
        <v>0</v>
      </c>
      <c r="K330" t="n">
        <v>0</v>
      </c>
      <c r="L330" t="n">
        <v>0</v>
      </c>
      <c r="M330" t="n">
        <v>0</v>
      </c>
      <c r="N330" t="n">
        <v>0</v>
      </c>
      <c r="O330" t="n">
        <v>0</v>
      </c>
      <c r="P330" t="n">
        <v>0</v>
      </c>
      <c r="Q330" t="n">
        <v>0</v>
      </c>
      <c r="R330" t="n">
        <v>0</v>
      </c>
      <c r="S330" t="n">
        <v>0</v>
      </c>
      <c r="T330" t="n">
        <v>0</v>
      </c>
      <c r="U330" s="2" t="inlineStr"/>
    </row>
    <row r="331" ht="15" customHeight="1">
      <c r="A331" t="inlineStr">
        <is>
          <t>A 60067-2023</t>
        </is>
      </c>
      <c r="B331" t="inlineStr">
        <is>
          <t>avverkningsanmälan</t>
        </is>
      </c>
      <c r="C331" t="inlineStr">
        <is>
          <t>Föryngringsavverkning</t>
        </is>
      </c>
      <c r="D331" s="1" t="n">
        <v>45258</v>
      </c>
      <c r="E331" s="1" t="n">
        <v>46221</v>
      </c>
      <c r="F331" t="inlineStr">
        <is>
          <t>JÖNKÖPINGS LÄN</t>
        </is>
      </c>
      <c r="G331" t="inlineStr">
        <is>
          <t>VAGGERYD</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61421-2023</t>
        </is>
      </c>
      <c r="B332" t="inlineStr">
        <is>
          <t>avverkningsanmälan</t>
        </is>
      </c>
      <c r="C332" t="inlineStr">
        <is>
          <t>Föryngringsavverkning</t>
        </is>
      </c>
      <c r="D332" s="1" t="n">
        <v>45264</v>
      </c>
      <c r="E332" s="1" t="n">
        <v>46221</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47005-2023</t>
        </is>
      </c>
      <c r="B333" t="inlineStr">
        <is>
          <t>avverkningsanmälan</t>
        </is>
      </c>
      <c r="C333" t="inlineStr">
        <is>
          <t>Föryngringsavverkning</t>
        </is>
      </c>
      <c r="D333" s="1" t="n">
        <v>45195</v>
      </c>
      <c r="E333" s="1" t="n">
        <v>46221</v>
      </c>
      <c r="F333" t="inlineStr">
        <is>
          <t>JÖNKÖPINGS LÄN</t>
        </is>
      </c>
      <c r="G333" t="inlineStr">
        <is>
          <t>VAGGERYD</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54530-2023</t>
        </is>
      </c>
      <c r="B334" t="inlineStr">
        <is>
          <t>avverkningsanmälan</t>
        </is>
      </c>
      <c r="C334" t="inlineStr">
        <is>
          <t>Föryngringsavverkning</t>
        </is>
      </c>
      <c r="D334" s="1" t="n">
        <v>45233</v>
      </c>
      <c r="E334" s="1" t="n">
        <v>46221</v>
      </c>
      <c r="F334" t="inlineStr">
        <is>
          <t>JÖNKÖPINGS LÄN</t>
        </is>
      </c>
      <c r="G334" t="inlineStr">
        <is>
          <t>VAGGERYD</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16913-2024</t>
        </is>
      </c>
      <c r="B335" t="inlineStr">
        <is>
          <t>avverkningsanmälan</t>
        </is>
      </c>
      <c r="C335" t="inlineStr">
        <is>
          <t>Föryngringsavverkning</t>
        </is>
      </c>
      <c r="D335" s="1" t="n">
        <v>45411</v>
      </c>
      <c r="E335" s="1" t="n">
        <v>46221</v>
      </c>
      <c r="F335" t="inlineStr">
        <is>
          <t>JÖNKÖPINGS LÄN</t>
        </is>
      </c>
      <c r="G335" t="inlineStr">
        <is>
          <t>VAGGERYD</t>
        </is>
      </c>
      <c r="I335" t="n">
        <v>2.9</v>
      </c>
      <c r="J335" t="n">
        <v>0</v>
      </c>
      <c r="K335" t="n">
        <v>0</v>
      </c>
      <c r="L335" t="n">
        <v>0</v>
      </c>
      <c r="M335" t="n">
        <v>0</v>
      </c>
      <c r="N335" t="n">
        <v>0</v>
      </c>
      <c r="O335" t="n">
        <v>0</v>
      </c>
      <c r="P335" t="n">
        <v>0</v>
      </c>
      <c r="Q335" t="n">
        <v>0</v>
      </c>
      <c r="R335" t="n">
        <v>0</v>
      </c>
      <c r="S335" t="n">
        <v>0</v>
      </c>
      <c r="T335" t="n">
        <v>0</v>
      </c>
      <c r="U335" s="2" t="inlineStr"/>
    </row>
    <row r="336" ht="15" customHeight="1">
      <c r="A336" t="inlineStr">
        <is>
          <t>A 35703-2024</t>
        </is>
      </c>
      <c r="B336" t="inlineStr">
        <is>
          <t>avverkningsanmälan</t>
        </is>
      </c>
      <c r="C336" t="inlineStr">
        <is>
          <t>Föryngringsavverkning</t>
        </is>
      </c>
      <c r="D336" s="1" t="n">
        <v>45532</v>
      </c>
      <c r="E336" s="1" t="n">
        <v>46221</v>
      </c>
      <c r="F336" t="inlineStr">
        <is>
          <t>JÖNKÖPINGS LÄN</t>
        </is>
      </c>
      <c r="G336" t="inlineStr">
        <is>
          <t>VAGGERYD</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37803-2021</t>
        </is>
      </c>
      <c r="B337" t="inlineStr">
        <is>
          <t>avverkningsanmälan</t>
        </is>
      </c>
      <c r="C337" t="inlineStr">
        <is>
          <t>Föryngringsavverkning</t>
        </is>
      </c>
      <c r="D337" s="1" t="n">
        <v>44402</v>
      </c>
      <c r="E337" s="1" t="n">
        <v>46221</v>
      </c>
      <c r="F337" t="inlineStr">
        <is>
          <t>JÖNKÖPINGS LÄN</t>
        </is>
      </c>
      <c r="G337" t="inlineStr">
        <is>
          <t>VAGGERYD</t>
        </is>
      </c>
      <c r="I337" t="n">
        <v>4.2</v>
      </c>
      <c r="J337" t="n">
        <v>0</v>
      </c>
      <c r="K337" t="n">
        <v>0</v>
      </c>
      <c r="L337" t="n">
        <v>0</v>
      </c>
      <c r="M337" t="n">
        <v>0</v>
      </c>
      <c r="N337" t="n">
        <v>0</v>
      </c>
      <c r="O337" t="n">
        <v>0</v>
      </c>
      <c r="P337" t="n">
        <v>0</v>
      </c>
      <c r="Q337" t="n">
        <v>0</v>
      </c>
      <c r="R337" t="n">
        <v>0</v>
      </c>
      <c r="S337" t="n">
        <v>0</v>
      </c>
      <c r="T337" t="n">
        <v>0</v>
      </c>
      <c r="U337" s="2" t="inlineStr"/>
    </row>
    <row r="338" ht="15" customHeight="1">
      <c r="A338" t="inlineStr">
        <is>
          <t>A 35051-2025</t>
        </is>
      </c>
      <c r="B338" t="inlineStr">
        <is>
          <t>avverkningsanmälan</t>
        </is>
      </c>
      <c r="C338" t="inlineStr">
        <is>
          <t>Föryngringsavverkning</t>
        </is>
      </c>
      <c r="D338" s="1" t="n">
        <v>45852</v>
      </c>
      <c r="E338" s="1" t="n">
        <v>46221</v>
      </c>
      <c r="F338" t="inlineStr">
        <is>
          <t>JÖNKÖPINGS LÄN</t>
        </is>
      </c>
      <c r="G338" t="inlineStr">
        <is>
          <t>VAGGERYD</t>
        </is>
      </c>
      <c r="I338" t="n">
        <v>5.5</v>
      </c>
      <c r="J338" t="n">
        <v>0</v>
      </c>
      <c r="K338" t="n">
        <v>0</v>
      </c>
      <c r="L338" t="n">
        <v>0</v>
      </c>
      <c r="M338" t="n">
        <v>0</v>
      </c>
      <c r="N338" t="n">
        <v>0</v>
      </c>
      <c r="O338" t="n">
        <v>0</v>
      </c>
      <c r="P338" t="n">
        <v>0</v>
      </c>
      <c r="Q338" t="n">
        <v>0</v>
      </c>
      <c r="R338" t="n">
        <v>0</v>
      </c>
      <c r="S338" t="n">
        <v>0</v>
      </c>
      <c r="T338" t="n">
        <v>0</v>
      </c>
      <c r="U338" s="2" t="inlineStr"/>
    </row>
    <row r="339" ht="15" customHeight="1">
      <c r="A339" t="inlineStr">
        <is>
          <t>A 46873-2024</t>
        </is>
      </c>
      <c r="B339" t="inlineStr">
        <is>
          <t>avverkningsanmälan</t>
        </is>
      </c>
      <c r="C339" t="inlineStr">
        <is>
          <t>Föryngringsavverkning</t>
        </is>
      </c>
      <c r="D339" s="1" t="n">
        <v>45583</v>
      </c>
      <c r="E339" s="1" t="n">
        <v>46221</v>
      </c>
      <c r="F339" t="inlineStr">
        <is>
          <t>JÖNKÖPINGS LÄN</t>
        </is>
      </c>
      <c r="G339" t="inlineStr">
        <is>
          <t>VAGGERYD</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14399-2023</t>
        </is>
      </c>
      <c r="B340" t="inlineStr">
        <is>
          <t>avverkningsanmälan</t>
        </is>
      </c>
      <c r="C340" t="inlineStr">
        <is>
          <t>Föryngringsavverkning</t>
        </is>
      </c>
      <c r="D340" s="1" t="n">
        <v>45012</v>
      </c>
      <c r="E340" s="1" t="n">
        <v>46221</v>
      </c>
      <c r="F340" t="inlineStr">
        <is>
          <t>JÖNKÖPINGS LÄN</t>
        </is>
      </c>
      <c r="G340" t="inlineStr">
        <is>
          <t>VAGGERYD</t>
        </is>
      </c>
      <c r="I340" t="n">
        <v>5.3</v>
      </c>
      <c r="J340" t="n">
        <v>0</v>
      </c>
      <c r="K340" t="n">
        <v>0</v>
      </c>
      <c r="L340" t="n">
        <v>0</v>
      </c>
      <c r="M340" t="n">
        <v>0</v>
      </c>
      <c r="N340" t="n">
        <v>0</v>
      </c>
      <c r="O340" t="n">
        <v>0</v>
      </c>
      <c r="P340" t="n">
        <v>0</v>
      </c>
      <c r="Q340" t="n">
        <v>0</v>
      </c>
      <c r="R340" t="n">
        <v>0</v>
      </c>
      <c r="S340" t="n">
        <v>0</v>
      </c>
      <c r="T340" t="n">
        <v>0</v>
      </c>
      <c r="U340" s="2" t="inlineStr"/>
    </row>
    <row r="341" ht="15" customHeight="1">
      <c r="A341" t="inlineStr">
        <is>
          <t>A 40887-2024</t>
        </is>
      </c>
      <c r="B341" t="inlineStr">
        <is>
          <t>avverkningsanmälan</t>
        </is>
      </c>
      <c r="C341" t="inlineStr">
        <is>
          <t>Avverkning för att bevara och utveckla /försöksver</t>
        </is>
      </c>
      <c r="D341" s="1" t="n">
        <v>45558</v>
      </c>
      <c r="E341" s="1" t="n">
        <v>46221</v>
      </c>
      <c r="F341" t="inlineStr">
        <is>
          <t>JÖNKÖPINGS LÄN</t>
        </is>
      </c>
      <c r="G341" t="inlineStr">
        <is>
          <t>VAGGERYD</t>
        </is>
      </c>
      <c r="H341" t="inlineStr">
        <is>
          <t>Sveaskog</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21490-2022</t>
        </is>
      </c>
      <c r="B342" t="inlineStr">
        <is>
          <t>avverkningsanmälan</t>
        </is>
      </c>
      <c r="C342" t="inlineStr">
        <is>
          <t>Föryngringsavverkning</t>
        </is>
      </c>
      <c r="D342" s="1" t="n">
        <v>44706</v>
      </c>
      <c r="E342" s="1" t="n">
        <v>46221</v>
      </c>
      <c r="F342" t="inlineStr">
        <is>
          <t>JÖNKÖPINGS LÄN</t>
        </is>
      </c>
      <c r="G342" t="inlineStr">
        <is>
          <t>VAGGERYD</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59746-2022</t>
        </is>
      </c>
      <c r="B343" t="inlineStr">
        <is>
          <t>avverkningsanmälan</t>
        </is>
      </c>
      <c r="C343" t="inlineStr">
        <is>
          <t>Föryngringsavverkning</t>
        </is>
      </c>
      <c r="D343" s="1" t="n">
        <v>44900</v>
      </c>
      <c r="E343" s="1" t="n">
        <v>46221</v>
      </c>
      <c r="F343" t="inlineStr">
        <is>
          <t>JÖNKÖPINGS LÄN</t>
        </is>
      </c>
      <c r="G343" t="inlineStr">
        <is>
          <t>VAGGERYD</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15263-2024</t>
        </is>
      </c>
      <c r="B344" t="inlineStr">
        <is>
          <t>avverkningsanmälan</t>
        </is>
      </c>
      <c r="C344" t="inlineStr">
        <is>
          <t>Föryngringsavverkning</t>
        </is>
      </c>
      <c r="D344" s="1" t="n">
        <v>45400</v>
      </c>
      <c r="E344" s="1" t="n">
        <v>46221</v>
      </c>
      <c r="F344" t="inlineStr">
        <is>
          <t>JÖNKÖPINGS LÄN</t>
        </is>
      </c>
      <c r="G344" t="inlineStr">
        <is>
          <t>VAGGERYD</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53780-2021</t>
        </is>
      </c>
      <c r="B345" t="inlineStr">
        <is>
          <t>avverkningsanmälan</t>
        </is>
      </c>
      <c r="C345" t="inlineStr">
        <is>
          <t>Föryngringsavverkning</t>
        </is>
      </c>
      <c r="D345" s="1" t="n">
        <v>44469</v>
      </c>
      <c r="E345" s="1" t="n">
        <v>46221</v>
      </c>
      <c r="F345" t="inlineStr">
        <is>
          <t>JÖNKÖPINGS LÄN</t>
        </is>
      </c>
      <c r="G345" t="inlineStr">
        <is>
          <t>VAGGERYD</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31197-2022</t>
        </is>
      </c>
      <c r="B346" t="inlineStr">
        <is>
          <t>avverkningsanmälan</t>
        </is>
      </c>
      <c r="C346" t="inlineStr">
        <is>
          <t>Föryngringsavverkning</t>
        </is>
      </c>
      <c r="D346" s="1" t="n">
        <v>44770</v>
      </c>
      <c r="E346" s="1" t="n">
        <v>46221</v>
      </c>
      <c r="F346" t="inlineStr">
        <is>
          <t>JÖNKÖPINGS LÄN</t>
        </is>
      </c>
      <c r="G346" t="inlineStr">
        <is>
          <t>VAGGERYD</t>
        </is>
      </c>
      <c r="I346" t="n">
        <v>5.3</v>
      </c>
      <c r="J346" t="n">
        <v>0</v>
      </c>
      <c r="K346" t="n">
        <v>0</v>
      </c>
      <c r="L346" t="n">
        <v>0</v>
      </c>
      <c r="M346" t="n">
        <v>0</v>
      </c>
      <c r="N346" t="n">
        <v>0</v>
      </c>
      <c r="O346" t="n">
        <v>0</v>
      </c>
      <c r="P346" t="n">
        <v>0</v>
      </c>
      <c r="Q346" t="n">
        <v>0</v>
      </c>
      <c r="R346" t="n">
        <v>0</v>
      </c>
      <c r="S346" t="n">
        <v>0</v>
      </c>
      <c r="T346" t="n">
        <v>0</v>
      </c>
      <c r="U346" s="2" t="inlineStr"/>
    </row>
    <row r="347" ht="15" customHeight="1">
      <c r="A347" t="inlineStr">
        <is>
          <t>A 19435-2022</t>
        </is>
      </c>
      <c r="B347" t="inlineStr">
        <is>
          <t>avverkningsanmälan</t>
        </is>
      </c>
      <c r="C347" t="inlineStr">
        <is>
          <t>Föryngringsavverkning</t>
        </is>
      </c>
      <c r="D347" s="1" t="n">
        <v>44693</v>
      </c>
      <c r="E347" s="1" t="n">
        <v>46221</v>
      </c>
      <c r="F347" t="inlineStr">
        <is>
          <t>JÖNKÖPINGS LÄN</t>
        </is>
      </c>
      <c r="G347" t="inlineStr">
        <is>
          <t>VAGGERYD</t>
        </is>
      </c>
      <c r="H347" t="inlineStr">
        <is>
          <t>Övriga statliga verk och myndigheter</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13860-2024</t>
        </is>
      </c>
      <c r="B348" t="inlineStr">
        <is>
          <t>avverkningsanmälan</t>
        </is>
      </c>
      <c r="C348" t="inlineStr">
        <is>
          <t>Föryngringsavverkning</t>
        </is>
      </c>
      <c r="D348" s="1" t="n">
        <v>45390</v>
      </c>
      <c r="E348" s="1" t="n">
        <v>46221</v>
      </c>
      <c r="F348" t="inlineStr">
        <is>
          <t>JÖNKÖPINGS LÄN</t>
        </is>
      </c>
      <c r="G348" t="inlineStr">
        <is>
          <t>VAGGERYD</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24382-2022</t>
        </is>
      </c>
      <c r="B349" t="inlineStr">
        <is>
          <t>avverkningsanmälan</t>
        </is>
      </c>
      <c r="C349" t="inlineStr">
        <is>
          <t>Avverkning för annat ändamål</t>
        </is>
      </c>
      <c r="D349" s="1" t="n">
        <v>44726</v>
      </c>
      <c r="E349" s="1" t="n">
        <v>46221</v>
      </c>
      <c r="F349" t="inlineStr">
        <is>
          <t>JÖNKÖPINGS LÄN</t>
        </is>
      </c>
      <c r="G349" t="inlineStr">
        <is>
          <t>VAGGERYD</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22826-2026</t>
        </is>
      </c>
      <c r="B350" t="inlineStr">
        <is>
          <t>avverkningsanmälan</t>
        </is>
      </c>
      <c r="C350" t="inlineStr">
        <is>
          <t>Föryngringsavverkning</t>
        </is>
      </c>
      <c r="D350" s="1" t="n">
        <v>46160</v>
      </c>
      <c r="E350" s="1" t="n">
        <v>46221</v>
      </c>
      <c r="F350" t="inlineStr">
        <is>
          <t>JÖNKÖPINGS LÄN</t>
        </is>
      </c>
      <c r="G350" t="inlineStr">
        <is>
          <t>VAGGERYD</t>
        </is>
      </c>
      <c r="I350" t="n">
        <v>3.1</v>
      </c>
      <c r="J350" t="n">
        <v>0</v>
      </c>
      <c r="K350" t="n">
        <v>0</v>
      </c>
      <c r="L350" t="n">
        <v>0</v>
      </c>
      <c r="M350" t="n">
        <v>0</v>
      </c>
      <c r="N350" t="n">
        <v>0</v>
      </c>
      <c r="O350" t="n">
        <v>0</v>
      </c>
      <c r="P350" t="n">
        <v>0</v>
      </c>
      <c r="Q350" t="n">
        <v>0</v>
      </c>
      <c r="R350" t="n">
        <v>0</v>
      </c>
      <c r="S350" t="n">
        <v>0</v>
      </c>
      <c r="T350" t="n">
        <v>0</v>
      </c>
      <c r="U350" s="2" t="inlineStr"/>
    </row>
    <row r="351" ht="15" customHeight="1">
      <c r="A351" t="inlineStr">
        <is>
          <t>A 20059-2024</t>
        </is>
      </c>
      <c r="B351" t="inlineStr">
        <is>
          <t>avverkningsanmälan</t>
        </is>
      </c>
      <c r="C351" t="inlineStr">
        <is>
          <t>Föryngringsavverkning</t>
        </is>
      </c>
      <c r="D351" s="1" t="n">
        <v>45434</v>
      </c>
      <c r="E351" s="1" t="n">
        <v>46221</v>
      </c>
      <c r="F351" t="inlineStr">
        <is>
          <t>JÖNKÖPINGS LÄN</t>
        </is>
      </c>
      <c r="G351" t="inlineStr">
        <is>
          <t>VAGGERYD</t>
        </is>
      </c>
      <c r="H351" t="inlineStr">
        <is>
          <t>Sveaskog</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57306-2022</t>
        </is>
      </c>
      <c r="B352" t="inlineStr">
        <is>
          <t>avverkningsanmälan</t>
        </is>
      </c>
      <c r="C352" t="inlineStr">
        <is>
          <t>Föryngringsavverkning</t>
        </is>
      </c>
      <c r="D352" s="1" t="n">
        <v>44896</v>
      </c>
      <c r="E352" s="1" t="n">
        <v>46221</v>
      </c>
      <c r="F352" t="inlineStr">
        <is>
          <t>JÖNKÖPINGS LÄN</t>
        </is>
      </c>
      <c r="G352" t="inlineStr">
        <is>
          <t>VAGGERYD</t>
        </is>
      </c>
      <c r="I352" t="n">
        <v>0.4</v>
      </c>
      <c r="J352" t="n">
        <v>0</v>
      </c>
      <c r="K352" t="n">
        <v>0</v>
      </c>
      <c r="L352" t="n">
        <v>0</v>
      </c>
      <c r="M352" t="n">
        <v>0</v>
      </c>
      <c r="N352" t="n">
        <v>0</v>
      </c>
      <c r="O352" t="n">
        <v>0</v>
      </c>
      <c r="P352" t="n">
        <v>0</v>
      </c>
      <c r="Q352" t="n">
        <v>0</v>
      </c>
      <c r="R352" t="n">
        <v>0</v>
      </c>
      <c r="S352" t="n">
        <v>0</v>
      </c>
      <c r="T352" t="n">
        <v>0</v>
      </c>
      <c r="U352" s="2" t="inlineStr"/>
    </row>
    <row r="353" ht="15" customHeight="1">
      <c r="A353" t="inlineStr">
        <is>
          <t>A 29308-2026</t>
        </is>
      </c>
      <c r="B353" t="inlineStr">
        <is>
          <t>avverkningsanmälan</t>
        </is>
      </c>
      <c r="C353" t="inlineStr">
        <is>
          <t>Föryngringsavverkning</t>
        </is>
      </c>
      <c r="D353" s="1" t="n">
        <v>46202</v>
      </c>
      <c r="E353" s="1" t="n">
        <v>46221</v>
      </c>
      <c r="F353" t="inlineStr">
        <is>
          <t>JÖNKÖPINGS LÄN</t>
        </is>
      </c>
      <c r="G353" t="inlineStr">
        <is>
          <t>VAGGERYD</t>
        </is>
      </c>
      <c r="I353" t="n">
        <v>4.4</v>
      </c>
      <c r="J353" t="n">
        <v>0</v>
      </c>
      <c r="K353" t="n">
        <v>0</v>
      </c>
      <c r="L353" t="n">
        <v>0</v>
      </c>
      <c r="M353" t="n">
        <v>0</v>
      </c>
      <c r="N353" t="n">
        <v>0</v>
      </c>
      <c r="O353" t="n">
        <v>0</v>
      </c>
      <c r="P353" t="n">
        <v>0</v>
      </c>
      <c r="Q353" t="n">
        <v>0</v>
      </c>
      <c r="R353" t="n">
        <v>0</v>
      </c>
      <c r="S353" t="n">
        <v>0</v>
      </c>
      <c r="T353" t="n">
        <v>0</v>
      </c>
      <c r="U353" s="2" t="inlineStr"/>
    </row>
    <row r="354" ht="15" customHeight="1">
      <c r="A354" t="inlineStr">
        <is>
          <t>A 22823-2026</t>
        </is>
      </c>
      <c r="B354" t="inlineStr">
        <is>
          <t>avverkningsanmälan</t>
        </is>
      </c>
      <c r="C354" t="inlineStr">
        <is>
          <t>Föryngringsavverkning</t>
        </is>
      </c>
      <c r="D354" s="1" t="n">
        <v>46160</v>
      </c>
      <c r="E354" s="1" t="n">
        <v>46221</v>
      </c>
      <c r="F354" t="inlineStr">
        <is>
          <t>JÖNKÖPINGS LÄN</t>
        </is>
      </c>
      <c r="G354" t="inlineStr">
        <is>
          <t>VAGGERYD</t>
        </is>
      </c>
      <c r="I354" t="n">
        <v>3.4</v>
      </c>
      <c r="J354" t="n">
        <v>0</v>
      </c>
      <c r="K354" t="n">
        <v>0</v>
      </c>
      <c r="L354" t="n">
        <v>0</v>
      </c>
      <c r="M354" t="n">
        <v>0</v>
      </c>
      <c r="N354" t="n">
        <v>0</v>
      </c>
      <c r="O354" t="n">
        <v>0</v>
      </c>
      <c r="P354" t="n">
        <v>0</v>
      </c>
      <c r="Q354" t="n">
        <v>0</v>
      </c>
      <c r="R354" t="n">
        <v>0</v>
      </c>
      <c r="S354" t="n">
        <v>0</v>
      </c>
      <c r="T354" t="n">
        <v>0</v>
      </c>
      <c r="U354" s="2" t="inlineStr"/>
    </row>
    <row r="355" ht="15" customHeight="1">
      <c r="A355" t="inlineStr">
        <is>
          <t>A 40333-2023</t>
        </is>
      </c>
      <c r="B355" t="inlineStr">
        <is>
          <t>avverkningsanmälan</t>
        </is>
      </c>
      <c r="C355" t="inlineStr">
        <is>
          <t>Avverkning för annat ändamål</t>
        </is>
      </c>
      <c r="D355" s="1" t="n">
        <v>45169</v>
      </c>
      <c r="E355" s="1" t="n">
        <v>46221</v>
      </c>
      <c r="F355" t="inlineStr">
        <is>
          <t>JÖNKÖPINGS LÄN</t>
        </is>
      </c>
      <c r="G355" t="inlineStr">
        <is>
          <t>VAGGERYD</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22833-2026</t>
        </is>
      </c>
      <c r="B356" t="inlineStr">
        <is>
          <t>avverkningsanmälan</t>
        </is>
      </c>
      <c r="C356" t="inlineStr">
        <is>
          <t>Föryngringsavverkning</t>
        </is>
      </c>
      <c r="D356" s="1" t="n">
        <v>46160</v>
      </c>
      <c r="E356" s="1" t="n">
        <v>46221</v>
      </c>
      <c r="F356" t="inlineStr">
        <is>
          <t>JÖNKÖPINGS LÄN</t>
        </is>
      </c>
      <c r="G356" t="inlineStr">
        <is>
          <t>VAGGERYD</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40858-2024</t>
        </is>
      </c>
      <c r="B357" t="inlineStr">
        <is>
          <t>avverkningsanmälan</t>
        </is>
      </c>
      <c r="C357" t="inlineStr">
        <is>
          <t>Föryngringsavverkning</t>
        </is>
      </c>
      <c r="D357" s="1" t="n">
        <v>45558</v>
      </c>
      <c r="E357" s="1" t="n">
        <v>46221</v>
      </c>
      <c r="F357" t="inlineStr">
        <is>
          <t>JÖNKÖPINGS LÄN</t>
        </is>
      </c>
      <c r="G357" t="inlineStr">
        <is>
          <t>VAGGERYD</t>
        </is>
      </c>
      <c r="H357" t="inlineStr">
        <is>
          <t>Sveaskog</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22898-2026</t>
        </is>
      </c>
      <c r="B358" t="inlineStr">
        <is>
          <t>avverkningsanmälan</t>
        </is>
      </c>
      <c r="C358" t="inlineStr">
        <is>
          <t>Föryngringsavverkning</t>
        </is>
      </c>
      <c r="D358" s="1" t="n">
        <v>46160</v>
      </c>
      <c r="E358" s="1" t="n">
        <v>46221</v>
      </c>
      <c r="F358" t="inlineStr">
        <is>
          <t>JÖNKÖPINGS LÄN</t>
        </is>
      </c>
      <c r="G358" t="inlineStr">
        <is>
          <t>VAGGERYD</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4188-2023</t>
        </is>
      </c>
      <c r="B359" t="inlineStr">
        <is>
          <t>avverkningsanmälan</t>
        </is>
      </c>
      <c r="C359" t="inlineStr">
        <is>
          <t>Föryngringsavverkning</t>
        </is>
      </c>
      <c r="D359" s="1" t="n">
        <v>44953</v>
      </c>
      <c r="E359" s="1" t="n">
        <v>46221</v>
      </c>
      <c r="F359" t="inlineStr">
        <is>
          <t>JÖNKÖPINGS LÄN</t>
        </is>
      </c>
      <c r="G359" t="inlineStr">
        <is>
          <t>VAGGERYD</t>
        </is>
      </c>
      <c r="H359" t="inlineStr">
        <is>
          <t>Sveaskog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14418-2023</t>
        </is>
      </c>
      <c r="B360" t="inlineStr">
        <is>
          <t>avverkningsanmälan</t>
        </is>
      </c>
      <c r="C360" t="inlineStr">
        <is>
          <t>Föryngringsavverkning</t>
        </is>
      </c>
      <c r="D360" s="1" t="n">
        <v>45012</v>
      </c>
      <c r="E360" s="1" t="n">
        <v>46221</v>
      </c>
      <c r="F360" t="inlineStr">
        <is>
          <t>JÖNKÖPINGS LÄN</t>
        </is>
      </c>
      <c r="G360" t="inlineStr">
        <is>
          <t>VAGGERYD</t>
        </is>
      </c>
      <c r="I360" t="n">
        <v>6.7</v>
      </c>
      <c r="J360" t="n">
        <v>0</v>
      </c>
      <c r="K360" t="n">
        <v>0</v>
      </c>
      <c r="L360" t="n">
        <v>0</v>
      </c>
      <c r="M360" t="n">
        <v>0</v>
      </c>
      <c r="N360" t="n">
        <v>0</v>
      </c>
      <c r="O360" t="n">
        <v>0</v>
      </c>
      <c r="P360" t="n">
        <v>0</v>
      </c>
      <c r="Q360" t="n">
        <v>0</v>
      </c>
      <c r="R360" t="n">
        <v>0</v>
      </c>
      <c r="S360" t="n">
        <v>0</v>
      </c>
      <c r="T360" t="n">
        <v>0</v>
      </c>
      <c r="U360" s="2" t="inlineStr"/>
    </row>
    <row r="361" ht="15" customHeight="1">
      <c r="A361" t="inlineStr">
        <is>
          <t>A 14422-2023</t>
        </is>
      </c>
      <c r="B361" t="inlineStr">
        <is>
          <t>avverkningsanmälan</t>
        </is>
      </c>
      <c r="C361" t="inlineStr">
        <is>
          <t>Föryngringsavverkning</t>
        </is>
      </c>
      <c r="D361" s="1" t="n">
        <v>45012</v>
      </c>
      <c r="E361" s="1" t="n">
        <v>46221</v>
      </c>
      <c r="F361" t="inlineStr">
        <is>
          <t>JÖNKÖPINGS LÄN</t>
        </is>
      </c>
      <c r="G361" t="inlineStr">
        <is>
          <t>VAGGERYD</t>
        </is>
      </c>
      <c r="I361" t="n">
        <v>5</v>
      </c>
      <c r="J361" t="n">
        <v>0</v>
      </c>
      <c r="K361" t="n">
        <v>0</v>
      </c>
      <c r="L361" t="n">
        <v>0</v>
      </c>
      <c r="M361" t="n">
        <v>0</v>
      </c>
      <c r="N361" t="n">
        <v>0</v>
      </c>
      <c r="O361" t="n">
        <v>0</v>
      </c>
      <c r="P361" t="n">
        <v>0</v>
      </c>
      <c r="Q361" t="n">
        <v>0</v>
      </c>
      <c r="R361" t="n">
        <v>0</v>
      </c>
      <c r="S361" t="n">
        <v>0</v>
      </c>
      <c r="T361" t="n">
        <v>0</v>
      </c>
      <c r="U361" s="2" t="inlineStr"/>
    </row>
    <row r="362" ht="15" customHeight="1">
      <c r="A362" t="inlineStr">
        <is>
          <t>A 7555-2023</t>
        </is>
      </c>
      <c r="B362" t="inlineStr">
        <is>
          <t>avverkningsanmälan</t>
        </is>
      </c>
      <c r="C362" t="inlineStr">
        <is>
          <t>Föryngringsavverkning</t>
        </is>
      </c>
      <c r="D362" s="1" t="n">
        <v>44972</v>
      </c>
      <c r="E362" s="1" t="n">
        <v>46221</v>
      </c>
      <c r="F362" t="inlineStr">
        <is>
          <t>JÖNKÖPINGS LÄN</t>
        </is>
      </c>
      <c r="G362" t="inlineStr">
        <is>
          <t>VAGGERYD</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59187-2022</t>
        </is>
      </c>
      <c r="B363" t="inlineStr">
        <is>
          <t>avverkningsanmälan</t>
        </is>
      </c>
      <c r="C363" t="inlineStr">
        <is>
          <t>Föryngringsavverkning</t>
        </is>
      </c>
      <c r="D363" s="1" t="n">
        <v>44904</v>
      </c>
      <c r="E363" s="1" t="n">
        <v>46221</v>
      </c>
      <c r="F363" t="inlineStr">
        <is>
          <t>JÖNKÖPINGS LÄN</t>
        </is>
      </c>
      <c r="G363" t="inlineStr">
        <is>
          <t>VAGGERYD</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60326-2022</t>
        </is>
      </c>
      <c r="B364" t="inlineStr">
        <is>
          <t>avverkningsanmälan</t>
        </is>
      </c>
      <c r="C364" t="inlineStr">
        <is>
          <t>Föryngringsavverkning</t>
        </is>
      </c>
      <c r="D364" s="1" t="n">
        <v>44910</v>
      </c>
      <c r="E364" s="1" t="n">
        <v>46221</v>
      </c>
      <c r="F364" t="inlineStr">
        <is>
          <t>JÖNKÖPINGS LÄN</t>
        </is>
      </c>
      <c r="G364" t="inlineStr">
        <is>
          <t>VAGGERYD</t>
        </is>
      </c>
      <c r="H364" t="inlineStr">
        <is>
          <t>Sveaskog</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35459-2024</t>
        </is>
      </c>
      <c r="B365" t="inlineStr">
        <is>
          <t>avverkningsanmälan</t>
        </is>
      </c>
      <c r="C365" t="inlineStr">
        <is>
          <t>Föryngringsavverkning</t>
        </is>
      </c>
      <c r="D365" s="1" t="n">
        <v>45531</v>
      </c>
      <c r="E365" s="1" t="n">
        <v>46221</v>
      </c>
      <c r="F365" t="inlineStr">
        <is>
          <t>JÖNKÖPINGS LÄN</t>
        </is>
      </c>
      <c r="G365" t="inlineStr">
        <is>
          <t>VAGGERYD</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3221-2023</t>
        </is>
      </c>
      <c r="B366" t="inlineStr">
        <is>
          <t>avverkningsanmälan</t>
        </is>
      </c>
      <c r="C366" t="inlineStr">
        <is>
          <t>Avverkning för annat ändamål</t>
        </is>
      </c>
      <c r="D366" s="1" t="n">
        <v>44946</v>
      </c>
      <c r="E366" s="1" t="n">
        <v>46221</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58925-2024</t>
        </is>
      </c>
      <c r="B367" t="inlineStr">
        <is>
          <t>avverkningsanmälan</t>
        </is>
      </c>
      <c r="C367" t="inlineStr">
        <is>
          <t>Avverkning för att bevara och utveckla /försöksver</t>
        </is>
      </c>
      <c r="D367" s="1" t="n">
        <v>45636</v>
      </c>
      <c r="E367" s="1" t="n">
        <v>46221</v>
      </c>
      <c r="F367" t="inlineStr">
        <is>
          <t>JÖNKÖPINGS LÄN</t>
        </is>
      </c>
      <c r="G367" t="inlineStr">
        <is>
          <t>VAGGERYD</t>
        </is>
      </c>
      <c r="H367" t="inlineStr">
        <is>
          <t>Sveaskog</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51264-2022</t>
        </is>
      </c>
      <c r="B368" t="inlineStr">
        <is>
          <t>avverkningsanmälan</t>
        </is>
      </c>
      <c r="C368" t="inlineStr">
        <is>
          <t>Föryngringsavverkning</t>
        </is>
      </c>
      <c r="D368" s="1" t="n">
        <v>44866</v>
      </c>
      <c r="E368" s="1" t="n">
        <v>46221</v>
      </c>
      <c r="F368" t="inlineStr">
        <is>
          <t>JÖNKÖPINGS LÄN</t>
        </is>
      </c>
      <c r="G368" t="inlineStr">
        <is>
          <t>VAGGERYD</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56467-2023</t>
        </is>
      </c>
      <c r="B369" t="inlineStr">
        <is>
          <t>avverkningsanmälan</t>
        </is>
      </c>
      <c r="C369" t="inlineStr">
        <is>
          <t>Föryngringsavverkning</t>
        </is>
      </c>
      <c r="D369" s="1" t="n">
        <v>45243</v>
      </c>
      <c r="E369" s="1" t="n">
        <v>46221</v>
      </c>
      <c r="F369" t="inlineStr">
        <is>
          <t>JÖNKÖPINGS LÄN</t>
        </is>
      </c>
      <c r="G369" t="inlineStr">
        <is>
          <t>VAGGERYD</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19885-2023</t>
        </is>
      </c>
      <c r="B370" t="inlineStr">
        <is>
          <t>avverkningsanmälan</t>
        </is>
      </c>
      <c r="C370" t="inlineStr">
        <is>
          <t>Föryngringsavverkning</t>
        </is>
      </c>
      <c r="D370" s="1" t="n">
        <v>45054</v>
      </c>
      <c r="E370" s="1" t="n">
        <v>46221</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19889-2023</t>
        </is>
      </c>
      <c r="B371" t="inlineStr">
        <is>
          <t>avverkningsanmälan</t>
        </is>
      </c>
      <c r="C371" t="inlineStr">
        <is>
          <t>Föryngringsavverkning</t>
        </is>
      </c>
      <c r="D371" s="1" t="n">
        <v>45054</v>
      </c>
      <c r="E371" s="1" t="n">
        <v>46221</v>
      </c>
      <c r="F371" t="inlineStr">
        <is>
          <t>JÖNKÖPINGS LÄN</t>
        </is>
      </c>
      <c r="G371" t="inlineStr">
        <is>
          <t>VAGGERYD</t>
        </is>
      </c>
      <c r="I371" t="n">
        <v>3.6</v>
      </c>
      <c r="J371" t="n">
        <v>0</v>
      </c>
      <c r="K371" t="n">
        <v>0</v>
      </c>
      <c r="L371" t="n">
        <v>0</v>
      </c>
      <c r="M371" t="n">
        <v>0</v>
      </c>
      <c r="N371" t="n">
        <v>0</v>
      </c>
      <c r="O371" t="n">
        <v>0</v>
      </c>
      <c r="P371" t="n">
        <v>0</v>
      </c>
      <c r="Q371" t="n">
        <v>0</v>
      </c>
      <c r="R371" t="n">
        <v>0</v>
      </c>
      <c r="S371" t="n">
        <v>0</v>
      </c>
      <c r="T371" t="n">
        <v>0</v>
      </c>
      <c r="U371" s="2" t="inlineStr"/>
    </row>
    <row r="372" ht="15" customHeight="1">
      <c r="A372" t="inlineStr">
        <is>
          <t>A 40685-2022</t>
        </is>
      </c>
      <c r="B372" t="inlineStr">
        <is>
          <t>avverkningsanmälan</t>
        </is>
      </c>
      <c r="C372" t="inlineStr">
        <is>
          <t>Föryngringsavverkning</t>
        </is>
      </c>
      <c r="D372" s="1" t="n">
        <v>44824</v>
      </c>
      <c r="E372" s="1" t="n">
        <v>46221</v>
      </c>
      <c r="F372" t="inlineStr">
        <is>
          <t>JÖNKÖPINGS LÄN</t>
        </is>
      </c>
      <c r="G372" t="inlineStr">
        <is>
          <t>VAGGERYD</t>
        </is>
      </c>
      <c r="I372" t="n">
        <v>5.2</v>
      </c>
      <c r="J372" t="n">
        <v>0</v>
      </c>
      <c r="K372" t="n">
        <v>0</v>
      </c>
      <c r="L372" t="n">
        <v>0</v>
      </c>
      <c r="M372" t="n">
        <v>0</v>
      </c>
      <c r="N372" t="n">
        <v>0</v>
      </c>
      <c r="O372" t="n">
        <v>0</v>
      </c>
      <c r="P372" t="n">
        <v>0</v>
      </c>
      <c r="Q372" t="n">
        <v>0</v>
      </c>
      <c r="R372" t="n">
        <v>0</v>
      </c>
      <c r="S372" t="n">
        <v>0</v>
      </c>
      <c r="T372" t="n">
        <v>0</v>
      </c>
      <c r="U372" s="2" t="inlineStr"/>
    </row>
    <row r="373" ht="15" customHeight="1">
      <c r="A373" t="inlineStr">
        <is>
          <t>A 59553-2023</t>
        </is>
      </c>
      <c r="B373" t="inlineStr">
        <is>
          <t>avverkningsanmälan</t>
        </is>
      </c>
      <c r="C373" t="inlineStr">
        <is>
          <t>Föryngringsavverkning</t>
        </is>
      </c>
      <c r="D373" s="1" t="n">
        <v>45254</v>
      </c>
      <c r="E373" s="1" t="n">
        <v>46221</v>
      </c>
      <c r="F373" t="inlineStr">
        <is>
          <t>JÖNKÖPINGS LÄN</t>
        </is>
      </c>
      <c r="G373" t="inlineStr">
        <is>
          <t>VAGGERYD</t>
        </is>
      </c>
      <c r="H373" t="inlineStr">
        <is>
          <t>Sveaskog</t>
        </is>
      </c>
      <c r="I373" t="n">
        <v>4.9</v>
      </c>
      <c r="J373" t="n">
        <v>0</v>
      </c>
      <c r="K373" t="n">
        <v>0</v>
      </c>
      <c r="L373" t="n">
        <v>0</v>
      </c>
      <c r="M373" t="n">
        <v>0</v>
      </c>
      <c r="N373" t="n">
        <v>0</v>
      </c>
      <c r="O373" t="n">
        <v>0</v>
      </c>
      <c r="P373" t="n">
        <v>0</v>
      </c>
      <c r="Q373" t="n">
        <v>0</v>
      </c>
      <c r="R373" t="n">
        <v>0</v>
      </c>
      <c r="S373" t="n">
        <v>0</v>
      </c>
      <c r="T373" t="n">
        <v>0</v>
      </c>
      <c r="U373" s="2" t="inlineStr"/>
    </row>
    <row r="374" ht="15" customHeight="1">
      <c r="A374" t="inlineStr">
        <is>
          <t>A 8690-2024</t>
        </is>
      </c>
      <c r="B374" t="inlineStr">
        <is>
          <t>avverkningsanmälan</t>
        </is>
      </c>
      <c r="C374" t="inlineStr">
        <is>
          <t>Föryngringsavverkning</t>
        </is>
      </c>
      <c r="D374" s="1" t="n">
        <v>45356</v>
      </c>
      <c r="E374" s="1" t="n">
        <v>46221</v>
      </c>
      <c r="F374" t="inlineStr">
        <is>
          <t>JÖNKÖPINGS LÄN</t>
        </is>
      </c>
      <c r="G374" t="inlineStr">
        <is>
          <t>VAGGERYD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9507-2024</t>
        </is>
      </c>
      <c r="B375" t="inlineStr">
        <is>
          <t>avverkningsanmälan</t>
        </is>
      </c>
      <c r="C375" t="inlineStr">
        <is>
          <t>Föryngringsavverkning</t>
        </is>
      </c>
      <c r="D375" s="1" t="n">
        <v>45359</v>
      </c>
      <c r="E375" s="1" t="n">
        <v>46221</v>
      </c>
      <c r="F375" t="inlineStr">
        <is>
          <t>JÖNKÖPINGS LÄN</t>
        </is>
      </c>
      <c r="G375" t="inlineStr">
        <is>
          <t>VAGGERYD</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30606-2026</t>
        </is>
      </c>
      <c r="B376" t="inlineStr">
        <is>
          <t>avverkningsanmälan</t>
        </is>
      </c>
      <c r="C376" t="inlineStr">
        <is>
          <t>Föryngringsavverkning</t>
        </is>
      </c>
      <c r="D376" s="1" t="n">
        <v>46210</v>
      </c>
      <c r="E376" s="1" t="n">
        <v>46221</v>
      </c>
      <c r="F376" t="inlineStr">
        <is>
          <t>JÖNKÖPINGS LÄN</t>
        </is>
      </c>
      <c r="G376" t="inlineStr">
        <is>
          <t>VAGGERYD</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36748-2023</t>
        </is>
      </c>
      <c r="B377" t="inlineStr">
        <is>
          <t>avverkningsanmälan</t>
        </is>
      </c>
      <c r="C377" t="inlineStr">
        <is>
          <t>Föryngringsavverkning</t>
        </is>
      </c>
      <c r="D377" s="1" t="n">
        <v>45153</v>
      </c>
      <c r="E377" s="1" t="n">
        <v>46221</v>
      </c>
      <c r="F377" t="inlineStr">
        <is>
          <t>JÖNKÖPINGS LÄN</t>
        </is>
      </c>
      <c r="G377" t="inlineStr">
        <is>
          <t>VAGGERYD</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16611-2025</t>
        </is>
      </c>
      <c r="B378" t="inlineStr">
        <is>
          <t>avverkningsanmälan</t>
        </is>
      </c>
      <c r="C378" t="inlineStr">
        <is>
          <t>Föryngringsavverkning</t>
        </is>
      </c>
      <c r="D378" s="1" t="n">
        <v>45753</v>
      </c>
      <c r="E378" s="1" t="n">
        <v>46221</v>
      </c>
      <c r="F378" t="inlineStr">
        <is>
          <t>JÖNKÖPINGS LÄN</t>
        </is>
      </c>
      <c r="G378" t="inlineStr">
        <is>
          <t>VAGGERYD</t>
        </is>
      </c>
      <c r="H378" t="inlineStr">
        <is>
          <t>Sveaskog</t>
        </is>
      </c>
      <c r="I378" t="n">
        <v>4</v>
      </c>
      <c r="J378" t="n">
        <v>0</v>
      </c>
      <c r="K378" t="n">
        <v>0</v>
      </c>
      <c r="L378" t="n">
        <v>0</v>
      </c>
      <c r="M378" t="n">
        <v>0</v>
      </c>
      <c r="N378" t="n">
        <v>0</v>
      </c>
      <c r="O378" t="n">
        <v>0</v>
      </c>
      <c r="P378" t="n">
        <v>0</v>
      </c>
      <c r="Q378" t="n">
        <v>0</v>
      </c>
      <c r="R378" t="n">
        <v>0</v>
      </c>
      <c r="S378" t="n">
        <v>0</v>
      </c>
      <c r="T378" t="n">
        <v>0</v>
      </c>
      <c r="U378" s="2" t="inlineStr"/>
    </row>
    <row r="379" ht="15" customHeight="1">
      <c r="A379" t="inlineStr">
        <is>
          <t>A 30833-2026</t>
        </is>
      </c>
      <c r="B379" t="inlineStr">
        <is>
          <t>avverkningsanmälan</t>
        </is>
      </c>
      <c r="C379" t="inlineStr">
        <is>
          <t>Föryngringsavverkning</t>
        </is>
      </c>
      <c r="D379" s="1" t="n">
        <v>46212</v>
      </c>
      <c r="E379" s="1" t="n">
        <v>46221</v>
      </c>
      <c r="F379" t="inlineStr">
        <is>
          <t>JÖNKÖPINGS LÄN</t>
        </is>
      </c>
      <c r="G379" t="inlineStr">
        <is>
          <t>VAGGERYD</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35036-2023</t>
        </is>
      </c>
      <c r="B380" t="inlineStr">
        <is>
          <t>avverkningsanmälan</t>
        </is>
      </c>
      <c r="C380" t="inlineStr">
        <is>
          <t>Föryngringsavverkning</t>
        </is>
      </c>
      <c r="D380" s="1" t="n">
        <v>45145</v>
      </c>
      <c r="E380" s="1" t="n">
        <v>46221</v>
      </c>
      <c r="F380" t="inlineStr">
        <is>
          <t>JÖNKÖPINGS LÄN</t>
        </is>
      </c>
      <c r="G380" t="inlineStr">
        <is>
          <t>VAGGERYD</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19116-2023</t>
        </is>
      </c>
      <c r="B381" t="inlineStr">
        <is>
          <t>avverkningsanmälan</t>
        </is>
      </c>
      <c r="C381" t="inlineStr">
        <is>
          <t>Föryngringsavverkning</t>
        </is>
      </c>
      <c r="D381" s="1" t="n">
        <v>45048</v>
      </c>
      <c r="E381" s="1" t="n">
        <v>46221</v>
      </c>
      <c r="F381" t="inlineStr">
        <is>
          <t>JÖNKÖPINGS LÄN</t>
        </is>
      </c>
      <c r="G381" t="inlineStr">
        <is>
          <t>VAGGERYD</t>
        </is>
      </c>
      <c r="I381" t="n">
        <v>4</v>
      </c>
      <c r="J381" t="n">
        <v>0</v>
      </c>
      <c r="K381" t="n">
        <v>0</v>
      </c>
      <c r="L381" t="n">
        <v>0</v>
      </c>
      <c r="M381" t="n">
        <v>0</v>
      </c>
      <c r="N381" t="n">
        <v>0</v>
      </c>
      <c r="O381" t="n">
        <v>0</v>
      </c>
      <c r="P381" t="n">
        <v>0</v>
      </c>
      <c r="Q381" t="n">
        <v>0</v>
      </c>
      <c r="R381" t="n">
        <v>0</v>
      </c>
      <c r="S381" t="n">
        <v>0</v>
      </c>
      <c r="T381" t="n">
        <v>0</v>
      </c>
      <c r="U381" s="2" t="inlineStr"/>
    </row>
    <row r="382" ht="15" customHeight="1">
      <c r="A382" t="inlineStr">
        <is>
          <t>A 51747-2024</t>
        </is>
      </c>
      <c r="B382" t="inlineStr">
        <is>
          <t>avverkningsanmälan</t>
        </is>
      </c>
      <c r="C382" t="inlineStr">
        <is>
          <t>Föryngringsavverkning</t>
        </is>
      </c>
      <c r="D382" s="1" t="n">
        <v>45607</v>
      </c>
      <c r="E382" s="1" t="n">
        <v>46221</v>
      </c>
      <c r="F382" t="inlineStr">
        <is>
          <t>JÖNKÖPINGS LÄN</t>
        </is>
      </c>
      <c r="G382" t="inlineStr">
        <is>
          <t>VAGGERYD</t>
        </is>
      </c>
      <c r="H382" t="inlineStr">
        <is>
          <t>Sveaskog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36328-2023</t>
        </is>
      </c>
      <c r="B383" t="inlineStr">
        <is>
          <t>avverkningsanmälan</t>
        </is>
      </c>
      <c r="C383" t="inlineStr">
        <is>
          <t>Avverkning för annat ändamål</t>
        </is>
      </c>
      <c r="D383" s="1" t="n">
        <v>45149</v>
      </c>
      <c r="E383" s="1" t="n">
        <v>46221</v>
      </c>
      <c r="F383" t="inlineStr">
        <is>
          <t>JÖNKÖPINGS LÄN</t>
        </is>
      </c>
      <c r="G383" t="inlineStr">
        <is>
          <t>VAGGERYD</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67224-2021</t>
        </is>
      </c>
      <c r="B384" t="inlineStr">
        <is>
          <t>avverkningsanmälan</t>
        </is>
      </c>
      <c r="C384" t="inlineStr">
        <is>
          <t>Föryngringsavverkning</t>
        </is>
      </c>
      <c r="D384" s="1" t="n">
        <v>44523</v>
      </c>
      <c r="E384" s="1" t="n">
        <v>46221</v>
      </c>
      <c r="F384" t="inlineStr">
        <is>
          <t>JÖNKÖPINGS LÄN</t>
        </is>
      </c>
      <c r="G384" t="inlineStr">
        <is>
          <t>VAGGERYD</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57993-2023</t>
        </is>
      </c>
      <c r="B385" t="inlineStr">
        <is>
          <t>avverkningsanmälan</t>
        </is>
      </c>
      <c r="C385" t="inlineStr">
        <is>
          <t>Föryngringsavverkning</t>
        </is>
      </c>
      <c r="D385" s="1" t="n">
        <v>45247</v>
      </c>
      <c r="E385" s="1" t="n">
        <v>46221</v>
      </c>
      <c r="F385" t="inlineStr">
        <is>
          <t>JÖNKÖPINGS LÄN</t>
        </is>
      </c>
      <c r="G385" t="inlineStr">
        <is>
          <t>VAGGERYD</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50379-2022</t>
        </is>
      </c>
      <c r="B386" t="inlineStr">
        <is>
          <t>avverkningsanmälan</t>
        </is>
      </c>
      <c r="C386" t="inlineStr">
        <is>
          <t>Föryngringsavverkning</t>
        </is>
      </c>
      <c r="D386" s="1" t="n">
        <v>44866</v>
      </c>
      <c r="E386" s="1" t="n">
        <v>46221</v>
      </c>
      <c r="F386" t="inlineStr">
        <is>
          <t>JÖNKÖPINGS LÄN</t>
        </is>
      </c>
      <c r="G386" t="inlineStr">
        <is>
          <t>VAGGERYD</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12876-2024</t>
        </is>
      </c>
      <c r="B387" t="inlineStr">
        <is>
          <t>avverkningsanmälan</t>
        </is>
      </c>
      <c r="C387" t="inlineStr">
        <is>
          <t>Föryngringsavverkning</t>
        </is>
      </c>
      <c r="D387" s="1" t="n">
        <v>45385</v>
      </c>
      <c r="E387" s="1" t="n">
        <v>46221</v>
      </c>
      <c r="F387" t="inlineStr">
        <is>
          <t>JÖNKÖPINGS LÄN</t>
        </is>
      </c>
      <c r="G387" t="inlineStr">
        <is>
          <t>VAGGERYD</t>
        </is>
      </c>
      <c r="I387" t="n">
        <v>3.2</v>
      </c>
      <c r="J387" t="n">
        <v>0</v>
      </c>
      <c r="K387" t="n">
        <v>0</v>
      </c>
      <c r="L387" t="n">
        <v>0</v>
      </c>
      <c r="M387" t="n">
        <v>0</v>
      </c>
      <c r="N387" t="n">
        <v>0</v>
      </c>
      <c r="O387" t="n">
        <v>0</v>
      </c>
      <c r="P387" t="n">
        <v>0</v>
      </c>
      <c r="Q387" t="n">
        <v>0</v>
      </c>
      <c r="R387" t="n">
        <v>0</v>
      </c>
      <c r="S387" t="n">
        <v>0</v>
      </c>
      <c r="T387" t="n">
        <v>0</v>
      </c>
      <c r="U387" s="2" t="inlineStr"/>
    </row>
    <row r="388" ht="15" customHeight="1">
      <c r="A388" t="inlineStr">
        <is>
          <t>A 31349-2025</t>
        </is>
      </c>
      <c r="B388" t="inlineStr">
        <is>
          <t>avverkningsanmälan</t>
        </is>
      </c>
      <c r="C388" t="inlineStr">
        <is>
          <t>Föryngringsavverkning</t>
        </is>
      </c>
      <c r="D388" s="1" t="n">
        <v>45832</v>
      </c>
      <c r="E388" s="1" t="n">
        <v>46221</v>
      </c>
      <c r="F388" t="inlineStr">
        <is>
          <t>JÖNKÖPINGS LÄN</t>
        </is>
      </c>
      <c r="G388" t="inlineStr">
        <is>
          <t>VAGGERYD</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53698-2022</t>
        </is>
      </c>
      <c r="B389" t="inlineStr">
        <is>
          <t>avverkningsanmälan</t>
        </is>
      </c>
      <c r="C389" t="inlineStr">
        <is>
          <t>Föryngringsavverkning</t>
        </is>
      </c>
      <c r="D389" s="1" t="n">
        <v>44880</v>
      </c>
      <c r="E389" s="1" t="n">
        <v>46221</v>
      </c>
      <c r="F389" t="inlineStr">
        <is>
          <t>JÖNKÖPINGS LÄN</t>
        </is>
      </c>
      <c r="G389" t="inlineStr">
        <is>
          <t>VAGGERYD</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40346-2023</t>
        </is>
      </c>
      <c r="B390" t="inlineStr">
        <is>
          <t>avverkningsanmälan</t>
        </is>
      </c>
      <c r="C390" t="inlineStr">
        <is>
          <t>Föryngringsavverkning</t>
        </is>
      </c>
      <c r="D390" s="1" t="n">
        <v>45169</v>
      </c>
      <c r="E390" s="1" t="n">
        <v>46221</v>
      </c>
      <c r="F390" t="inlineStr">
        <is>
          <t>JÖNKÖPINGS LÄN</t>
        </is>
      </c>
      <c r="G390" t="inlineStr">
        <is>
          <t>VAGGERYD</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18703-2025</t>
        </is>
      </c>
      <c r="B391" t="inlineStr">
        <is>
          <t>avverkningsanmälan</t>
        </is>
      </c>
      <c r="C391" t="inlineStr">
        <is>
          <t>Föryngringsavverkning</t>
        </is>
      </c>
      <c r="D391" s="1" t="n">
        <v>45763</v>
      </c>
      <c r="E391" s="1" t="n">
        <v>46221</v>
      </c>
      <c r="F391" t="inlineStr">
        <is>
          <t>JÖNKÖPINGS LÄN</t>
        </is>
      </c>
      <c r="G391" t="inlineStr">
        <is>
          <t>VAGGERYD</t>
        </is>
      </c>
      <c r="H391" t="inlineStr">
        <is>
          <t>Sveaskog</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18706-2025</t>
        </is>
      </c>
      <c r="B392" t="inlineStr">
        <is>
          <t>avverkningsanmälan</t>
        </is>
      </c>
      <c r="C392" t="inlineStr">
        <is>
          <t>Föryngringsavverkning</t>
        </is>
      </c>
      <c r="D392" s="1" t="n">
        <v>45763</v>
      </c>
      <c r="E392" s="1" t="n">
        <v>46221</v>
      </c>
      <c r="F392" t="inlineStr">
        <is>
          <t>JÖNKÖPINGS LÄN</t>
        </is>
      </c>
      <c r="G392" t="inlineStr">
        <is>
          <t>VAGGERYD</t>
        </is>
      </c>
      <c r="H392" t="inlineStr">
        <is>
          <t>Sveaskog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19792-2023</t>
        </is>
      </c>
      <c r="B393" t="inlineStr">
        <is>
          <t>avverkningsanmälan</t>
        </is>
      </c>
      <c r="C393" t="inlineStr">
        <is>
          <t>Föryngringsavverkning</t>
        </is>
      </c>
      <c r="D393" s="1" t="n">
        <v>45051</v>
      </c>
      <c r="E393" s="1" t="n">
        <v>46221</v>
      </c>
      <c r="F393" t="inlineStr">
        <is>
          <t>JÖNKÖPINGS LÄN</t>
        </is>
      </c>
      <c r="G393" t="inlineStr">
        <is>
          <t>VAGGERYD</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24523-2024</t>
        </is>
      </c>
      <c r="B394" t="inlineStr">
        <is>
          <t>avverkningsanmälan</t>
        </is>
      </c>
      <c r="C394" t="inlineStr">
        <is>
          <t>Föryngringsavverkning</t>
        </is>
      </c>
      <c r="D394" s="1" t="n">
        <v>45460</v>
      </c>
      <c r="E394" s="1" t="n">
        <v>46221</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28896-2023</t>
        </is>
      </c>
      <c r="B395" t="inlineStr">
        <is>
          <t>avverkningsanmälan</t>
        </is>
      </c>
      <c r="C395" t="inlineStr">
        <is>
          <t>Avverkning för att bevara och utveckla /försöksver</t>
        </is>
      </c>
      <c r="D395" s="1" t="n">
        <v>45104</v>
      </c>
      <c r="E395" s="1" t="n">
        <v>46221</v>
      </c>
      <c r="F395" t="inlineStr">
        <is>
          <t>JÖNKÖPINGS LÄN</t>
        </is>
      </c>
      <c r="G395" t="inlineStr">
        <is>
          <t>VAGGERYD</t>
        </is>
      </c>
      <c r="H395" t="inlineStr">
        <is>
          <t>Sveaskog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223-2023</t>
        </is>
      </c>
      <c r="B396" t="inlineStr">
        <is>
          <t>avverkningsanmälan</t>
        </is>
      </c>
      <c r="C396" t="inlineStr">
        <is>
          <t>Föryngringsavverkning</t>
        </is>
      </c>
      <c r="D396" s="1" t="n">
        <v>44928</v>
      </c>
      <c r="E396" s="1" t="n">
        <v>46221</v>
      </c>
      <c r="F396" t="inlineStr">
        <is>
          <t>JÖNKÖPINGS LÄN</t>
        </is>
      </c>
      <c r="G396" t="inlineStr">
        <is>
          <t>VAGGERYD</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45423-2023</t>
        </is>
      </c>
      <c r="B397" t="inlineStr">
        <is>
          <t>avverkningsanmälan</t>
        </is>
      </c>
      <c r="C397" t="inlineStr">
        <is>
          <t>Föryngringsavverkning</t>
        </is>
      </c>
      <c r="D397" s="1" t="n">
        <v>45194</v>
      </c>
      <c r="E397" s="1" t="n">
        <v>46221</v>
      </c>
      <c r="F397" t="inlineStr">
        <is>
          <t>JÖNKÖPINGS LÄN</t>
        </is>
      </c>
      <c r="G397" t="inlineStr">
        <is>
          <t>VAGGERYD</t>
        </is>
      </c>
      <c r="I397" t="n">
        <v>3</v>
      </c>
      <c r="J397" t="n">
        <v>0</v>
      </c>
      <c r="K397" t="n">
        <v>0</v>
      </c>
      <c r="L397" t="n">
        <v>0</v>
      </c>
      <c r="M397" t="n">
        <v>0</v>
      </c>
      <c r="N397" t="n">
        <v>0</v>
      </c>
      <c r="O397" t="n">
        <v>0</v>
      </c>
      <c r="P397" t="n">
        <v>0</v>
      </c>
      <c r="Q397" t="n">
        <v>0</v>
      </c>
      <c r="R397" t="n">
        <v>0</v>
      </c>
      <c r="S397" t="n">
        <v>0</v>
      </c>
      <c r="T397" t="n">
        <v>0</v>
      </c>
      <c r="U397" s="2" t="inlineStr"/>
    </row>
    <row r="398" ht="15" customHeight="1">
      <c r="A398" t="inlineStr">
        <is>
          <t>A 13107-2023</t>
        </is>
      </c>
      <c r="B398" t="inlineStr">
        <is>
          <t>avverkningsanmälan</t>
        </is>
      </c>
      <c r="C398" t="inlineStr">
        <is>
          <t>Föryngringsavverkning</t>
        </is>
      </c>
      <c r="D398" s="1" t="n">
        <v>45002</v>
      </c>
      <c r="E398" s="1" t="n">
        <v>46221</v>
      </c>
      <c r="F398" t="inlineStr">
        <is>
          <t>JÖNKÖPINGS LÄN</t>
        </is>
      </c>
      <c r="G398" t="inlineStr">
        <is>
          <t>VAGGERYD</t>
        </is>
      </c>
      <c r="I398" t="n">
        <v>3.3</v>
      </c>
      <c r="J398" t="n">
        <v>0</v>
      </c>
      <c r="K398" t="n">
        <v>0</v>
      </c>
      <c r="L398" t="n">
        <v>0</v>
      </c>
      <c r="M398" t="n">
        <v>0</v>
      </c>
      <c r="N398" t="n">
        <v>0</v>
      </c>
      <c r="O398" t="n">
        <v>0</v>
      </c>
      <c r="P398" t="n">
        <v>0</v>
      </c>
      <c r="Q398" t="n">
        <v>0</v>
      </c>
      <c r="R398" t="n">
        <v>0</v>
      </c>
      <c r="S398" t="n">
        <v>0</v>
      </c>
      <c r="T398" t="n">
        <v>0</v>
      </c>
      <c r="U398" s="2" t="inlineStr"/>
    </row>
    <row r="399" ht="15" customHeight="1">
      <c r="A399" t="inlineStr">
        <is>
          <t>A 43052-2024</t>
        </is>
      </c>
      <c r="B399" t="inlineStr">
        <is>
          <t>avverkningsanmälan</t>
        </is>
      </c>
      <c r="C399" t="inlineStr">
        <is>
          <t>Föryngringsavverkning</t>
        </is>
      </c>
      <c r="D399" s="1" t="n">
        <v>45567</v>
      </c>
      <c r="E399" s="1" t="n">
        <v>46221</v>
      </c>
      <c r="F399" t="inlineStr">
        <is>
          <t>JÖNKÖPINGS LÄN</t>
        </is>
      </c>
      <c r="G399" t="inlineStr">
        <is>
          <t>VAGGERYD</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17302-2022</t>
        </is>
      </c>
      <c r="B400" t="inlineStr">
        <is>
          <t>avverkningsanmälan</t>
        </is>
      </c>
      <c r="C400" t="inlineStr">
        <is>
          <t>Föryngringsavverkning</t>
        </is>
      </c>
      <c r="D400" s="1" t="n">
        <v>44678</v>
      </c>
      <c r="E400" s="1" t="n">
        <v>46221</v>
      </c>
      <c r="F400" t="inlineStr">
        <is>
          <t>JÖNKÖPINGS LÄN</t>
        </is>
      </c>
      <c r="G400" t="inlineStr">
        <is>
          <t>VAGGERYD</t>
        </is>
      </c>
      <c r="I400" t="n">
        <v>4.3</v>
      </c>
      <c r="J400" t="n">
        <v>0</v>
      </c>
      <c r="K400" t="n">
        <v>0</v>
      </c>
      <c r="L400" t="n">
        <v>0</v>
      </c>
      <c r="M400" t="n">
        <v>0</v>
      </c>
      <c r="N400" t="n">
        <v>0</v>
      </c>
      <c r="O400" t="n">
        <v>0</v>
      </c>
      <c r="P400" t="n">
        <v>0</v>
      </c>
      <c r="Q400" t="n">
        <v>0</v>
      </c>
      <c r="R400" t="n">
        <v>0</v>
      </c>
      <c r="S400" t="n">
        <v>0</v>
      </c>
      <c r="T400" t="n">
        <v>0</v>
      </c>
      <c r="U400" s="2" t="inlineStr"/>
    </row>
    <row r="401" ht="15" customHeight="1">
      <c r="A401" t="inlineStr">
        <is>
          <t>A 11588-2024</t>
        </is>
      </c>
      <c r="B401" t="inlineStr">
        <is>
          <t>avverkningsanmälan</t>
        </is>
      </c>
      <c r="C401" t="inlineStr">
        <is>
          <t>Föryngringsavverkning</t>
        </is>
      </c>
      <c r="D401" s="1" t="n">
        <v>45373</v>
      </c>
      <c r="E401" s="1" t="n">
        <v>46221</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25620-2024</t>
        </is>
      </c>
      <c r="B402" t="inlineStr">
        <is>
          <t>avverkningsanmälan</t>
        </is>
      </c>
      <c r="C402" t="inlineStr">
        <is>
          <t>Föryngringsavverkning</t>
        </is>
      </c>
      <c r="D402" s="1" t="n">
        <v>45463</v>
      </c>
      <c r="E402" s="1" t="n">
        <v>46221</v>
      </c>
      <c r="F402" t="inlineStr">
        <is>
          <t>JÖNKÖPINGS LÄN</t>
        </is>
      </c>
      <c r="G402" t="inlineStr">
        <is>
          <t>VAGGERYD</t>
        </is>
      </c>
      <c r="H402" t="inlineStr">
        <is>
          <t>Sveaskog</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58627-2024</t>
        </is>
      </c>
      <c r="B403" t="inlineStr">
        <is>
          <t>avverkningsanmälan</t>
        </is>
      </c>
      <c r="C403" t="inlineStr">
        <is>
          <t>Föryngringsavverkning</t>
        </is>
      </c>
      <c r="D403" s="1" t="n">
        <v>45635</v>
      </c>
      <c r="E403" s="1" t="n">
        <v>46221</v>
      </c>
      <c r="F403" t="inlineStr">
        <is>
          <t>JÖNKÖPINGS LÄN</t>
        </is>
      </c>
      <c r="G403" t="inlineStr">
        <is>
          <t>VAGGERYD</t>
        </is>
      </c>
      <c r="H403" t="inlineStr">
        <is>
          <t>Sveaskog</t>
        </is>
      </c>
      <c r="I403" t="n">
        <v>8</v>
      </c>
      <c r="J403" t="n">
        <v>0</v>
      </c>
      <c r="K403" t="n">
        <v>0</v>
      </c>
      <c r="L403" t="n">
        <v>0</v>
      </c>
      <c r="M403" t="n">
        <v>0</v>
      </c>
      <c r="N403" t="n">
        <v>0</v>
      </c>
      <c r="O403" t="n">
        <v>0</v>
      </c>
      <c r="P403" t="n">
        <v>0</v>
      </c>
      <c r="Q403" t="n">
        <v>0</v>
      </c>
      <c r="R403" t="n">
        <v>0</v>
      </c>
      <c r="S403" t="n">
        <v>0</v>
      </c>
      <c r="T403" t="n">
        <v>0</v>
      </c>
      <c r="U403" s="2" t="inlineStr"/>
    </row>
    <row r="404" ht="15" customHeight="1">
      <c r="A404" t="inlineStr">
        <is>
          <t>A 15926-2025</t>
        </is>
      </c>
      <c r="B404" t="inlineStr">
        <is>
          <t>avverkningsanmälan</t>
        </is>
      </c>
      <c r="C404" t="inlineStr">
        <is>
          <t>Föryngringsavverkning</t>
        </is>
      </c>
      <c r="D404" s="1" t="n">
        <v>45749</v>
      </c>
      <c r="E404" s="1" t="n">
        <v>46221</v>
      </c>
      <c r="F404" t="inlineStr">
        <is>
          <t>JÖNKÖPINGS LÄN</t>
        </is>
      </c>
      <c r="G404" t="inlineStr">
        <is>
          <t>VAGGERYD</t>
        </is>
      </c>
      <c r="H404" t="inlineStr">
        <is>
          <t>Sveaskog</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15943-2025</t>
        </is>
      </c>
      <c r="B405" t="inlineStr">
        <is>
          <t>avverkningsanmälan</t>
        </is>
      </c>
      <c r="C405" t="inlineStr">
        <is>
          <t>Föryngringsavverkning</t>
        </is>
      </c>
      <c r="D405" s="1" t="n">
        <v>45749</v>
      </c>
      <c r="E405" s="1" t="n">
        <v>46221</v>
      </c>
      <c r="F405" t="inlineStr">
        <is>
          <t>JÖNKÖPINGS LÄN</t>
        </is>
      </c>
      <c r="G405" t="inlineStr">
        <is>
          <t>VAGGERYD</t>
        </is>
      </c>
      <c r="H405" t="inlineStr">
        <is>
          <t>Sveaskog</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30915-2024</t>
        </is>
      </c>
      <c r="B406" t="inlineStr">
        <is>
          <t>avverkningsanmälan</t>
        </is>
      </c>
      <c r="C406" t="inlineStr">
        <is>
          <t>Föryngringsavverkning</t>
        </is>
      </c>
      <c r="D406" s="1" t="n">
        <v>45498</v>
      </c>
      <c r="E406" s="1" t="n">
        <v>46221</v>
      </c>
      <c r="F406" t="inlineStr">
        <is>
          <t>JÖNKÖPINGS LÄN</t>
        </is>
      </c>
      <c r="G406" t="inlineStr">
        <is>
          <t>VAGGERYD</t>
        </is>
      </c>
      <c r="H406" t="inlineStr">
        <is>
          <t>Sveaskog</t>
        </is>
      </c>
      <c r="I406" t="n">
        <v>4.6</v>
      </c>
      <c r="J406" t="n">
        <v>0</v>
      </c>
      <c r="K406" t="n">
        <v>0</v>
      </c>
      <c r="L406" t="n">
        <v>0</v>
      </c>
      <c r="M406" t="n">
        <v>0</v>
      </c>
      <c r="N406" t="n">
        <v>0</v>
      </c>
      <c r="O406" t="n">
        <v>0</v>
      </c>
      <c r="P406" t="n">
        <v>0</v>
      </c>
      <c r="Q406" t="n">
        <v>0</v>
      </c>
      <c r="R406" t="n">
        <v>0</v>
      </c>
      <c r="S406" t="n">
        <v>0</v>
      </c>
      <c r="T406" t="n">
        <v>0</v>
      </c>
      <c r="U406" s="2" t="inlineStr"/>
    </row>
    <row r="407" ht="15" customHeight="1">
      <c r="A407" t="inlineStr">
        <is>
          <t>A 22767-2024</t>
        </is>
      </c>
      <c r="B407" t="inlineStr">
        <is>
          <t>avverkningsanmälan</t>
        </is>
      </c>
      <c r="C407" t="inlineStr">
        <is>
          <t>Föryngringsavverkning</t>
        </is>
      </c>
      <c r="D407" s="1" t="n">
        <v>45448</v>
      </c>
      <c r="E407" s="1" t="n">
        <v>46221</v>
      </c>
      <c r="F407" t="inlineStr">
        <is>
          <t>JÖNKÖPINGS LÄN</t>
        </is>
      </c>
      <c r="G407" t="inlineStr">
        <is>
          <t>VAGGERYD</t>
        </is>
      </c>
      <c r="H407" t="inlineStr">
        <is>
          <t>Sveaskog</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16560-2025</t>
        </is>
      </c>
      <c r="B408" t="inlineStr">
        <is>
          <t>avverkningsanmälan</t>
        </is>
      </c>
      <c r="C408" t="inlineStr">
        <is>
          <t>Föryngringsavverkning</t>
        </is>
      </c>
      <c r="D408" s="1" t="n">
        <v>45751</v>
      </c>
      <c r="E408" s="1" t="n">
        <v>46221</v>
      </c>
      <c r="F408" t="inlineStr">
        <is>
          <t>JÖNKÖPINGS LÄN</t>
        </is>
      </c>
      <c r="G408" t="inlineStr">
        <is>
          <t>VAGGERYD</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9229-2024</t>
        </is>
      </c>
      <c r="B409" t="inlineStr">
        <is>
          <t>avverkningsanmälan</t>
        </is>
      </c>
      <c r="C409" t="inlineStr">
        <is>
          <t>Föryngringsavverkning</t>
        </is>
      </c>
      <c r="D409" s="1" t="n">
        <v>45357</v>
      </c>
      <c r="E409" s="1" t="n">
        <v>46221</v>
      </c>
      <c r="F409" t="inlineStr">
        <is>
          <t>JÖNKÖPINGS LÄN</t>
        </is>
      </c>
      <c r="G409" t="inlineStr">
        <is>
          <t>VAGGERYD</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58612-2024</t>
        </is>
      </c>
      <c r="B410" t="inlineStr">
        <is>
          <t>avverkningsanmälan</t>
        </is>
      </c>
      <c r="C410" t="inlineStr">
        <is>
          <t>Föryngringsavverkning</t>
        </is>
      </c>
      <c r="D410" s="1" t="n">
        <v>45635</v>
      </c>
      <c r="E410" s="1" t="n">
        <v>46221</v>
      </c>
      <c r="F410" t="inlineStr">
        <is>
          <t>JÖNKÖPINGS LÄN</t>
        </is>
      </c>
      <c r="G410" t="inlineStr">
        <is>
          <t>VAGGERYD</t>
        </is>
      </c>
      <c r="H410" t="inlineStr">
        <is>
          <t>Sveaskog</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11035-2024</t>
        </is>
      </c>
      <c r="B411" t="inlineStr">
        <is>
          <t>avverkningsanmälan</t>
        </is>
      </c>
      <c r="C411" t="inlineStr">
        <is>
          <t>Föryngringsavverkning</t>
        </is>
      </c>
      <c r="D411" s="1" t="n">
        <v>45370</v>
      </c>
      <c r="E411" s="1" t="n">
        <v>46221</v>
      </c>
      <c r="F411" t="inlineStr">
        <is>
          <t>JÖNKÖPINGS LÄN</t>
        </is>
      </c>
      <c r="G411" t="inlineStr">
        <is>
          <t>VAGGERYD</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40691-2023</t>
        </is>
      </c>
      <c r="B412" t="inlineStr">
        <is>
          <t>avverkningsanmälan</t>
        </is>
      </c>
      <c r="C412" t="inlineStr">
        <is>
          <t>Föryngringsavverkning</t>
        </is>
      </c>
      <c r="D412" s="1" t="n">
        <v>45169</v>
      </c>
      <c r="E412" s="1" t="n">
        <v>46221</v>
      </c>
      <c r="F412" t="inlineStr">
        <is>
          <t>JÖNKÖPINGS LÄN</t>
        </is>
      </c>
      <c r="G412" t="inlineStr">
        <is>
          <t>VAGGERYD</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1938-2025</t>
        </is>
      </c>
      <c r="B413" t="inlineStr">
        <is>
          <t>avverkningsanmälan</t>
        </is>
      </c>
      <c r="C413" t="inlineStr">
        <is>
          <t>Föryngringsavverkning</t>
        </is>
      </c>
      <c r="D413" s="1" t="n">
        <v>45671</v>
      </c>
      <c r="E413" s="1" t="n">
        <v>46221</v>
      </c>
      <c r="F413" t="inlineStr">
        <is>
          <t>JÖNKÖPINGS LÄN</t>
        </is>
      </c>
      <c r="G413" t="inlineStr">
        <is>
          <t>VAGGERYD</t>
        </is>
      </c>
      <c r="I413" t="n">
        <v>6.7</v>
      </c>
      <c r="J413" t="n">
        <v>0</v>
      </c>
      <c r="K413" t="n">
        <v>0</v>
      </c>
      <c r="L413" t="n">
        <v>0</v>
      </c>
      <c r="M413" t="n">
        <v>0</v>
      </c>
      <c r="N413" t="n">
        <v>0</v>
      </c>
      <c r="O413" t="n">
        <v>0</v>
      </c>
      <c r="P413" t="n">
        <v>0</v>
      </c>
      <c r="Q413" t="n">
        <v>0</v>
      </c>
      <c r="R413" t="n">
        <v>0</v>
      </c>
      <c r="S413" t="n">
        <v>0</v>
      </c>
      <c r="T413" t="n">
        <v>0</v>
      </c>
      <c r="U413" s="2" t="inlineStr"/>
    </row>
    <row r="414" ht="15" customHeight="1">
      <c r="A414" t="inlineStr">
        <is>
          <t>A 18764-2025</t>
        </is>
      </c>
      <c r="B414" t="inlineStr">
        <is>
          <t>avverkningsanmälan</t>
        </is>
      </c>
      <c r="C414" t="inlineStr">
        <is>
          <t>Föryngringsavverkning</t>
        </is>
      </c>
      <c r="D414" s="1" t="n">
        <v>45764</v>
      </c>
      <c r="E414" s="1" t="n">
        <v>46221</v>
      </c>
      <c r="F414" t="inlineStr">
        <is>
          <t>JÖNKÖPINGS LÄN</t>
        </is>
      </c>
      <c r="G414" t="inlineStr">
        <is>
          <t>VAGGERYD</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15940-2025</t>
        </is>
      </c>
      <c r="B415" t="inlineStr">
        <is>
          <t>avverkningsanmälan</t>
        </is>
      </c>
      <c r="C415" t="inlineStr">
        <is>
          <t>Föryngringsavverkning</t>
        </is>
      </c>
      <c r="D415" s="1" t="n">
        <v>45749</v>
      </c>
      <c r="E415" s="1" t="n">
        <v>46221</v>
      </c>
      <c r="F415" t="inlineStr">
        <is>
          <t>JÖNKÖPINGS LÄN</t>
        </is>
      </c>
      <c r="G415" t="inlineStr">
        <is>
          <t>VAGGERYD</t>
        </is>
      </c>
      <c r="H415" t="inlineStr">
        <is>
          <t>Sveaskog</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23270-2025</t>
        </is>
      </c>
      <c r="B416" t="inlineStr">
        <is>
          <t>avverkningsanmälan</t>
        </is>
      </c>
      <c r="C416" t="inlineStr">
        <is>
          <t>Avverkning för att bevara och utveckla /försöksver</t>
        </is>
      </c>
      <c r="D416" s="1" t="n">
        <v>45791</v>
      </c>
      <c r="E416" s="1" t="n">
        <v>46221</v>
      </c>
      <c r="F416" t="inlineStr">
        <is>
          <t>JÖNKÖPINGS LÄN</t>
        </is>
      </c>
      <c r="G416" t="inlineStr">
        <is>
          <t>VAGGERYD</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25120-2025</t>
        </is>
      </c>
      <c r="B417" t="inlineStr">
        <is>
          <t>avverkningsanmälan</t>
        </is>
      </c>
      <c r="C417" t="inlineStr">
        <is>
          <t>Föryngringsavverkning</t>
        </is>
      </c>
      <c r="D417" s="1" t="n">
        <v>45798</v>
      </c>
      <c r="E417" s="1" t="n">
        <v>46221</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25400-2025</t>
        </is>
      </c>
      <c r="B418" t="inlineStr">
        <is>
          <t>avverkningsanmälan</t>
        </is>
      </c>
      <c r="C418" t="inlineStr">
        <is>
          <t>Föryngringsavverkning</t>
        </is>
      </c>
      <c r="D418" s="1" t="n">
        <v>45799</v>
      </c>
      <c r="E418" s="1" t="n">
        <v>46221</v>
      </c>
      <c r="F418" t="inlineStr">
        <is>
          <t>JÖNKÖPINGS LÄN</t>
        </is>
      </c>
      <c r="G418" t="inlineStr">
        <is>
          <t>VAGGERYD</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S 3587-2022</t>
        </is>
      </c>
      <c r="B419" t="inlineStr">
        <is>
          <t>samrådsanmälan</t>
        </is>
      </c>
      <c r="C419" t="inlineStr">
        <is>
          <t>Skogsbilväg</t>
        </is>
      </c>
      <c r="D419" s="1" t="n">
        <v>44739</v>
      </c>
      <c r="E419" s="1" t="n">
        <v>46221</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S 4752-2024</t>
        </is>
      </c>
      <c r="B420" t="inlineStr">
        <is>
          <t>samrådsanmälan</t>
        </is>
      </c>
      <c r="C420" t="inlineStr">
        <is>
          <t>Annan skogsbruksåtgärd</t>
        </is>
      </c>
      <c r="D420" s="1" t="n">
        <v>45609</v>
      </c>
      <c r="E420" s="1" t="n">
        <v>46221</v>
      </c>
      <c r="F420" t="inlineStr">
        <is>
          <t>JÖNKÖPINGS LÄN</t>
        </is>
      </c>
      <c r="G420" t="inlineStr">
        <is>
          <t>VAGGERYD</t>
        </is>
      </c>
      <c r="I420" t="n">
        <v>5.9</v>
      </c>
      <c r="J420" t="n">
        <v>0</v>
      </c>
      <c r="K420" t="n">
        <v>0</v>
      </c>
      <c r="L420" t="n">
        <v>0</v>
      </c>
      <c r="M420" t="n">
        <v>0</v>
      </c>
      <c r="N420" t="n">
        <v>0</v>
      </c>
      <c r="O420" t="n">
        <v>0</v>
      </c>
      <c r="P420" t="n">
        <v>0</v>
      </c>
      <c r="Q420" t="n">
        <v>0</v>
      </c>
      <c r="R420" t="n">
        <v>0</v>
      </c>
      <c r="S420" t="n">
        <v>0</v>
      </c>
      <c r="T420" t="n">
        <v>0</v>
      </c>
      <c r="U420" s="2" t="inlineStr"/>
    </row>
    <row r="421" ht="15" customHeight="1">
      <c r="A421" t="inlineStr">
        <is>
          <t>S 1665-2023</t>
        </is>
      </c>
      <c r="B421" t="inlineStr">
        <is>
          <t>samrådsanmälan</t>
        </is>
      </c>
      <c r="C421" t="inlineStr">
        <is>
          <t>Askåterföring</t>
        </is>
      </c>
      <c r="D421" s="1" t="n">
        <v>45062</v>
      </c>
      <c r="E421" s="1" t="n">
        <v>46221</v>
      </c>
      <c r="F421" t="inlineStr">
        <is>
          <t>JÖNKÖPINGS LÄN</t>
        </is>
      </c>
      <c r="G421" t="inlineStr">
        <is>
          <t>VAGGERYD</t>
        </is>
      </c>
      <c r="I421" t="n">
        <v>30.8</v>
      </c>
      <c r="J421" t="n">
        <v>0</v>
      </c>
      <c r="K421" t="n">
        <v>0</v>
      </c>
      <c r="L421" t="n">
        <v>0</v>
      </c>
      <c r="M421" t="n">
        <v>0</v>
      </c>
      <c r="N421" t="n">
        <v>0</v>
      </c>
      <c r="O421" t="n">
        <v>0</v>
      </c>
      <c r="P421" t="n">
        <v>0</v>
      </c>
      <c r="Q421" t="n">
        <v>0</v>
      </c>
      <c r="R421" t="n">
        <v>0</v>
      </c>
      <c r="S421" t="n">
        <v>0</v>
      </c>
      <c r="T421" t="n">
        <v>0</v>
      </c>
      <c r="U421" s="2" t="inlineStr"/>
    </row>
    <row r="422" ht="15" customHeight="1">
      <c r="A422" t="inlineStr">
        <is>
          <t>S 1388-2024</t>
        </is>
      </c>
      <c r="B422" t="inlineStr">
        <is>
          <t>samrådsanmälan</t>
        </is>
      </c>
      <c r="C422" t="inlineStr">
        <is>
          <t>Askåterföring</t>
        </is>
      </c>
      <c r="D422" s="1" t="n">
        <v>45411</v>
      </c>
      <c r="E422" s="1" t="n">
        <v>46221</v>
      </c>
      <c r="F422" t="inlineStr">
        <is>
          <t>JÖNKÖPINGS LÄN</t>
        </is>
      </c>
      <c r="G422" t="inlineStr">
        <is>
          <t>VAGGERYD</t>
        </is>
      </c>
      <c r="I422" t="n">
        <v>43.7</v>
      </c>
      <c r="J422" t="n">
        <v>0</v>
      </c>
      <c r="K422" t="n">
        <v>0</v>
      </c>
      <c r="L422" t="n">
        <v>0</v>
      </c>
      <c r="M422" t="n">
        <v>0</v>
      </c>
      <c r="N422" t="n">
        <v>0</v>
      </c>
      <c r="O422" t="n">
        <v>0</v>
      </c>
      <c r="P422" t="n">
        <v>0</v>
      </c>
      <c r="Q422" t="n">
        <v>0</v>
      </c>
      <c r="R422" t="n">
        <v>0</v>
      </c>
      <c r="S422" t="n">
        <v>0</v>
      </c>
      <c r="T422" t="n">
        <v>0</v>
      </c>
      <c r="U422" s="2" t="inlineStr"/>
    </row>
    <row r="423" ht="15" customHeight="1">
      <c r="A423" t="inlineStr">
        <is>
          <t>S 1446-2023</t>
        </is>
      </c>
      <c r="B423" t="inlineStr">
        <is>
          <t>samrådsanmälan</t>
        </is>
      </c>
      <c r="C423" t="inlineStr">
        <is>
          <t>Askåterföring</t>
        </is>
      </c>
      <c r="D423" s="1" t="n">
        <v>45044</v>
      </c>
      <c r="E423" s="1" t="n">
        <v>46221</v>
      </c>
      <c r="F423" t="inlineStr">
        <is>
          <t>JÖNKÖPINGS LÄN</t>
        </is>
      </c>
      <c r="G423" t="inlineStr">
        <is>
          <t>VAGGERYD</t>
        </is>
      </c>
      <c r="I423" t="n">
        <v>14.2</v>
      </c>
      <c r="J423" t="n">
        <v>0</v>
      </c>
      <c r="K423" t="n">
        <v>0</v>
      </c>
      <c r="L423" t="n">
        <v>0</v>
      </c>
      <c r="M423" t="n">
        <v>0</v>
      </c>
      <c r="N423" t="n">
        <v>0</v>
      </c>
      <c r="O423" t="n">
        <v>0</v>
      </c>
      <c r="P423" t="n">
        <v>0</v>
      </c>
      <c r="Q423" t="n">
        <v>0</v>
      </c>
      <c r="R423" t="n">
        <v>0</v>
      </c>
      <c r="S423" t="n">
        <v>0</v>
      </c>
      <c r="T423" t="n">
        <v>0</v>
      </c>
      <c r="U423" s="2" t="inlineStr"/>
    </row>
    <row r="424" ht="15" customHeight="1">
      <c r="A424" t="inlineStr">
        <is>
          <t>S 1504-2023</t>
        </is>
      </c>
      <c r="B424" t="inlineStr">
        <is>
          <t>samrådsanmälan</t>
        </is>
      </c>
      <c r="C424" t="inlineStr">
        <is>
          <t>Askåterföring</t>
        </is>
      </c>
      <c r="D424" s="1" t="n">
        <v>45051</v>
      </c>
      <c r="E424" s="1" t="n">
        <v>46221</v>
      </c>
      <c r="F424" t="inlineStr">
        <is>
          <t>JÖNKÖPINGS LÄN</t>
        </is>
      </c>
      <c r="G424" t="inlineStr">
        <is>
          <t>VAGGERYD</t>
        </is>
      </c>
      <c r="I424" t="n">
        <v>68.2</v>
      </c>
      <c r="J424" t="n">
        <v>0</v>
      </c>
      <c r="K424" t="n">
        <v>0</v>
      </c>
      <c r="L424" t="n">
        <v>0</v>
      </c>
      <c r="M424" t="n">
        <v>0</v>
      </c>
      <c r="N424" t="n">
        <v>0</v>
      </c>
      <c r="O424" t="n">
        <v>0</v>
      </c>
      <c r="P424" t="n">
        <v>0</v>
      </c>
      <c r="Q424" t="n">
        <v>0</v>
      </c>
      <c r="R424" t="n">
        <v>0</v>
      </c>
      <c r="S424" t="n">
        <v>0</v>
      </c>
      <c r="T424" t="n">
        <v>0</v>
      </c>
      <c r="U424" s="2" t="inlineStr"/>
    </row>
    <row r="425" ht="15" customHeight="1">
      <c r="A425" t="inlineStr">
        <is>
          <t>S 5205-2022</t>
        </is>
      </c>
      <c r="B425" t="inlineStr">
        <is>
          <t>samrådsanmälan</t>
        </is>
      </c>
      <c r="C425" t="inlineStr">
        <is>
          <t>Dikesrensning</t>
        </is>
      </c>
      <c r="D425" s="1" t="n">
        <v>44824</v>
      </c>
      <c r="E425" s="1" t="n">
        <v>46221</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S 3918-2022</t>
        </is>
      </c>
      <c r="B426" t="inlineStr">
        <is>
          <t>samrådsanmälan</t>
        </is>
      </c>
      <c r="C426" t="inlineStr">
        <is>
          <t>Askåterföring</t>
        </is>
      </c>
      <c r="D426" s="1" t="n">
        <v>44748</v>
      </c>
      <c r="E426" s="1" t="n">
        <v>46221</v>
      </c>
      <c r="F426" t="inlineStr">
        <is>
          <t>JÖNKÖPINGS LÄN</t>
        </is>
      </c>
      <c r="G426" t="inlineStr">
        <is>
          <t>VAGGERYD</t>
        </is>
      </c>
      <c r="H426" t="inlineStr">
        <is>
          <t>Övriga Aktiebolag</t>
        </is>
      </c>
      <c r="I426" t="n">
        <v>88.5</v>
      </c>
      <c r="J426" t="n">
        <v>0</v>
      </c>
      <c r="K426" t="n">
        <v>0</v>
      </c>
      <c r="L426" t="n">
        <v>0</v>
      </c>
      <c r="M426" t="n">
        <v>0</v>
      </c>
      <c r="N426" t="n">
        <v>0</v>
      </c>
      <c r="O426" t="n">
        <v>0</v>
      </c>
      <c r="P426" t="n">
        <v>0</v>
      </c>
      <c r="Q426" t="n">
        <v>0</v>
      </c>
      <c r="R426" t="n">
        <v>0</v>
      </c>
      <c r="S426" t="n">
        <v>0</v>
      </c>
      <c r="T426" t="n">
        <v>0</v>
      </c>
      <c r="U426" s="2" t="inlineStr"/>
    </row>
    <row r="427" ht="15" customHeight="1">
      <c r="A427" t="inlineStr">
        <is>
          <t>S 1315-2024</t>
        </is>
      </c>
      <c r="B427" t="inlineStr">
        <is>
          <t>samrådsanmälan</t>
        </is>
      </c>
      <c r="C427" t="inlineStr">
        <is>
          <t>Askåterföring</t>
        </is>
      </c>
      <c r="D427" s="1" t="n">
        <v>45406</v>
      </c>
      <c r="E427" s="1" t="n">
        <v>46221</v>
      </c>
      <c r="F427" t="inlineStr">
        <is>
          <t>JÖNKÖPINGS LÄN</t>
        </is>
      </c>
      <c r="G427" t="inlineStr">
        <is>
          <t>VAGGERYD</t>
        </is>
      </c>
      <c r="I427" t="n">
        <v>25.9</v>
      </c>
      <c r="J427" t="n">
        <v>0</v>
      </c>
      <c r="K427" t="n">
        <v>0</v>
      </c>
      <c r="L427" t="n">
        <v>0</v>
      </c>
      <c r="M427" t="n">
        <v>0</v>
      </c>
      <c r="N427" t="n">
        <v>0</v>
      </c>
      <c r="O427" t="n">
        <v>0</v>
      </c>
      <c r="P427" t="n">
        <v>0</v>
      </c>
      <c r="Q427" t="n">
        <v>0</v>
      </c>
      <c r="R427" t="n">
        <v>0</v>
      </c>
      <c r="S427" t="n">
        <v>0</v>
      </c>
      <c r="T427" t="n">
        <v>0</v>
      </c>
      <c r="U427" s="2" t="inlineStr"/>
    </row>
    <row r="428" ht="15" customHeight="1">
      <c r="A428" t="inlineStr">
        <is>
          <t>S 1322-2024</t>
        </is>
      </c>
      <c r="B428" t="inlineStr">
        <is>
          <t>samrådsanmälan</t>
        </is>
      </c>
      <c r="C428" t="inlineStr">
        <is>
          <t>Askåterföring</t>
        </is>
      </c>
      <c r="D428" s="1" t="n">
        <v>45406</v>
      </c>
      <c r="E428" s="1" t="n">
        <v>46221</v>
      </c>
      <c r="F428" t="inlineStr">
        <is>
          <t>JÖNKÖPINGS LÄN</t>
        </is>
      </c>
      <c r="G428" t="inlineStr">
        <is>
          <t>VAGGERYD</t>
        </is>
      </c>
      <c r="I428" t="n">
        <v>49.1</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46221</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46221</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46221</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46221</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46221</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46221</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46221</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46221</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46221</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46221</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46221</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46221</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46221</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46221</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46221</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46221</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46221</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46221</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46221</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46221</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2026-07-18T01:20:23Z</dcterms:created>
  <dcterms:modified xmlns:dcterms="http://purl.org/dc/terms/" xmlns:xsi="http://www.w3.org/2001/XMLSchema-instance" xsi:type="dcterms:W3CDTF">2026-07-18T01:20:24Z</dcterms:modified>
</cp:coreProperties>
</file>