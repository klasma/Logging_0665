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46218</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46218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46218</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46218</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s="2" t="inlineStr">
        <is>
          <t>Garnlav
Grynig filtlav
Kattfotslav
Kungsörn
Svinrot
Dvärgtufs
Rävticka
Skuggmossa
Spindelblomster
Stor revmossa
Tjäder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1318-2024</t>
        </is>
      </c>
      <c r="B6" t="inlineStr">
        <is>
          <t>samrådsanmälan</t>
        </is>
      </c>
      <c r="C6" t="inlineStr">
        <is>
          <t>Askåterföring</t>
        </is>
      </c>
      <c r="D6" s="1" t="n">
        <v>45406</v>
      </c>
      <c r="E6" s="1" t="n">
        <v>46218</v>
      </c>
      <c r="F6" t="inlineStr">
        <is>
          <t>JÖNKÖPINGS LÄN</t>
        </is>
      </c>
      <c r="G6" t="inlineStr">
        <is>
          <t>VAGGERYD</t>
        </is>
      </c>
      <c r="I6" t="n">
        <v>40.6</v>
      </c>
      <c r="J6" t="n">
        <v>1</v>
      </c>
      <c r="K6" t="n">
        <v>3</v>
      </c>
      <c r="L6" t="n">
        <v>3</v>
      </c>
      <c r="M6" t="n">
        <v>0</v>
      </c>
      <c r="N6" t="n">
        <v>0</v>
      </c>
      <c r="O6" t="n">
        <v>0</v>
      </c>
      <c r="P6" t="n">
        <v>0</v>
      </c>
      <c r="Q6" t="n">
        <v>3</v>
      </c>
      <c r="R6" t="n">
        <v>0</v>
      </c>
      <c r="S6" t="n">
        <v>6</v>
      </c>
      <c r="T6" t="n">
        <v>7</v>
      </c>
      <c r="U6" s="2" t="inlineStr">
        <is>
          <t>Dunmossa
Gullpudra
Kattfotslav
Korallrot
Källpraktmossa
Rödgul trumpetsvamp</t>
        </is>
      </c>
      <c r="V6">
        <f>HYPERLINK("https://klasma.github.io/Logging_0665/artfynd/S 1318-2024 artfynd.xlsx", "S 1318-2024")</f>
        <v/>
      </c>
      <c r="W6">
        <f>HYPERLINK("https://klasma.github.io/Logging_0665/kartor/S 1318-2024 karta.png", "S 1318-2024")</f>
        <v/>
      </c>
      <c r="Y6">
        <f>HYPERLINK("https://klasma.github.io/Logging_0665/klagomål/S 1318-2024 FSC-klagomål.docx", "S 1318-2024")</f>
        <v/>
      </c>
      <c r="Z6">
        <f>HYPERLINK("https://klasma.github.io/Logging_0665/klagomålsmail/S 1318-2024 FSC-klagomål mail.docx", "S 1318-2024")</f>
        <v/>
      </c>
      <c r="AA6">
        <f>HYPERLINK("https://klasma.github.io/Logging_0665/tillsyn/S 1318-2024 tillsynsbegäran.docx", "S 1318-2024")</f>
        <v/>
      </c>
      <c r="AB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46218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s="2" t="inlineStr">
        <is>
          <t>Skrovlig taggsvamp
Dropptaggsvamp
Motaggsvamp
Tallriska
Tjäder
Sävsparv</t>
        </is>
      </c>
      <c r="V7">
        <f>HYPERLINK("https://klasma.github.io/Logging_0665/artfynd/S 270-2023 artfynd.xlsx", "S 270-2023")</f>
        <v/>
      </c>
      <c r="W7">
        <f>HYPERLINK("https://klasma.github.io/Logging_0665/kartor/S 270-2023 karta.png", "S 270-2023")</f>
        <v/>
      </c>
      <c r="Y7">
        <f>HYPERLINK("https://klasma.github.io/Logging_0665/klagomål/S 270-2023 FSC-klagomål.docx", "S 270-2023")</f>
        <v/>
      </c>
      <c r="Z7">
        <f>HYPERLINK("https://klasma.github.io/Logging_0665/klagomålsmail/S 270-2023 FSC-klagomål mail.docx", "S 270-2023")</f>
        <v/>
      </c>
      <c r="AA7">
        <f>HYPERLINK("https://klasma.github.io/Logging_0665/tillsyn/S 270-2023 tillsynsbegäran.docx", "S 270-2023")</f>
        <v/>
      </c>
      <c r="AB7">
        <f>HYPERLINK("https://klasma.github.io/Logging_0665/tillsynsmail/S 270-2023 tillsynsbegäran mail.docx", "S 270-2023")</f>
        <v/>
      </c>
      <c r="AC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46218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s="2" t="inlineStr">
        <is>
          <t>Skrovlig taggsvamp
Dropptaggsvamp
Motaggsvamp
Tallriska
Tjäder
Sävsparv</t>
        </is>
      </c>
      <c r="V8">
        <f>HYPERLINK("https://klasma.github.io/Logging_0665/artfynd/S 960-2022 artfynd.xlsx", "S 960-2022")</f>
        <v/>
      </c>
      <c r="W8">
        <f>HYPERLINK("https://klasma.github.io/Logging_0665/kartor/S 960-2022 karta.png", "S 960-2022")</f>
        <v/>
      </c>
      <c r="Y8">
        <f>HYPERLINK("https://klasma.github.io/Logging_0665/klagomål/S 960-2022 FSC-klagomål.docx", "S 960-2022")</f>
        <v/>
      </c>
      <c r="Z8">
        <f>HYPERLINK("https://klasma.github.io/Logging_0665/klagomålsmail/S 960-2022 FSC-klagomål mail.docx", "S 960-2022")</f>
        <v/>
      </c>
      <c r="AA8">
        <f>HYPERLINK("https://klasma.github.io/Logging_0665/tillsyn/S 960-2022 tillsynsbegäran.docx", "S 960-2022")</f>
        <v/>
      </c>
      <c r="AB8">
        <f>HYPERLINK("https://klasma.github.io/Logging_0665/tillsynsmail/S 960-2022 tillsynsbegäran mail.docx", "S 960-2022")</f>
        <v/>
      </c>
      <c r="AC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46218</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46218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46218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46218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46218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46218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46218</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s="2" t="inlineStr">
        <is>
          <t>Större vattensalamander
Mindre vattensalamander</t>
        </is>
      </c>
      <c r="V15">
        <f>HYPERLINK("https://klasma.github.io/Logging_0665/artfynd/A 6937-2024 artfynd.xlsx", "A 6937-2024")</f>
        <v/>
      </c>
      <c r="W15">
        <f>HYPERLINK("https://klasma.github.io/Logging_0665/kartor/A 6937-2024 karta.png", "A 6937-2024")</f>
        <v/>
      </c>
      <c r="Y15">
        <f>HYPERLINK("https://klasma.github.io/Logging_0665/klagomål/A 6937-2024 FSC-klagomål.docx", "A 6937-2024")</f>
        <v/>
      </c>
      <c r="Z15">
        <f>HYPERLINK("https://klasma.github.io/Logging_0665/klagomålsmail/A 6937-2024 FSC-klagomål mail.docx", "A 6937-2024")</f>
        <v/>
      </c>
      <c r="AA15">
        <f>HYPERLINK("https://klasma.github.io/Logging_0665/tillsyn/A 6937-2024 tillsynsbegäran.docx", "A 6937-2024")</f>
        <v/>
      </c>
      <c r="AB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46218</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s="2" t="inlineStr">
        <is>
          <t>Korallrot
Spindelblomster</t>
        </is>
      </c>
      <c r="V16">
        <f>HYPERLINK("https://klasma.github.io/Logging_0665/artfynd/A 4015-2023 artfynd.xlsx", "A 4015-2023")</f>
        <v/>
      </c>
      <c r="W16">
        <f>HYPERLINK("https://klasma.github.io/Logging_0665/kartor/A 4015-2023 karta.png", "A 4015-2023")</f>
        <v/>
      </c>
      <c r="Y16">
        <f>HYPERLINK("https://klasma.github.io/Logging_0665/klagomål/A 4015-2023 FSC-klagomål.docx", "A 4015-2023")</f>
        <v/>
      </c>
      <c r="Z16">
        <f>HYPERLINK("https://klasma.github.io/Logging_0665/klagomålsmail/A 4015-2023 FSC-klagomål mail.docx", "A 4015-2023")</f>
        <v/>
      </c>
      <c r="AA16">
        <f>HYPERLINK("https://klasma.github.io/Logging_0665/tillsyn/A 4015-2023 tillsynsbegäran.docx", "A 4015-2023")</f>
        <v/>
      </c>
      <c r="AB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46218</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s="2" t="inlineStr">
        <is>
          <t>Bredgentiana
Nattviol</t>
        </is>
      </c>
      <c r="V17">
        <f>HYPERLINK("https://klasma.github.io/Logging_0665/artfynd/A 58951-2025 artfynd.xlsx", "A 58951-2025")</f>
        <v/>
      </c>
      <c r="W17">
        <f>HYPERLINK("https://klasma.github.io/Logging_0665/kartor/A 58951-2025 karta.png", "A 58951-2025")</f>
        <v/>
      </c>
      <c r="Y17">
        <f>HYPERLINK("https://klasma.github.io/Logging_0665/klagomål/A 58951-2025 FSC-klagomål.docx", "A 58951-2025")</f>
        <v/>
      </c>
      <c r="Z17">
        <f>HYPERLINK("https://klasma.github.io/Logging_0665/klagomålsmail/A 58951-2025 FSC-klagomål mail.docx", "A 58951-2025")</f>
        <v/>
      </c>
      <c r="AA17">
        <f>HYPERLINK("https://klasma.github.io/Logging_0665/tillsyn/A 58951-2025 tillsynsbegäran.docx", "A 58951-2025")</f>
        <v/>
      </c>
      <c r="AB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46218</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s="2" t="inlineStr">
        <is>
          <t>Västlig hakmossa
Blåsippa</t>
        </is>
      </c>
      <c r="V18">
        <f>HYPERLINK("https://klasma.github.io/Logging_0665/artfynd/A 14416-2023 artfynd.xlsx", "A 14416-2023")</f>
        <v/>
      </c>
      <c r="W18">
        <f>HYPERLINK("https://klasma.github.io/Logging_0665/kartor/A 14416-2023 karta.png", "A 14416-2023")</f>
        <v/>
      </c>
      <c r="Y18">
        <f>HYPERLINK("https://klasma.github.io/Logging_0665/klagomål/A 14416-2023 FSC-klagomål.docx", "A 14416-2023")</f>
        <v/>
      </c>
      <c r="Z18">
        <f>HYPERLINK("https://klasma.github.io/Logging_0665/klagomålsmail/A 14416-2023 FSC-klagomål mail.docx", "A 14416-2023")</f>
        <v/>
      </c>
      <c r="AA18">
        <f>HYPERLINK("https://klasma.github.io/Logging_0665/tillsyn/A 14416-2023 tillsynsbegäran.docx", "A 14416-2023")</f>
        <v/>
      </c>
      <c r="AB18">
        <f>HYPERLINK("https://klasma.github.io/Logging_0665/tillsynsmail/A 14416-2023 tillsynsbegäran mail.docx", "A 14416-2023")</f>
        <v/>
      </c>
    </row>
    <row r="19" ht="15" customHeight="1">
      <c r="A19" t="inlineStr">
        <is>
          <t>A 36553-2023</t>
        </is>
      </c>
      <c r="B19" t="inlineStr">
        <is>
          <t>avverkningsanmälan</t>
        </is>
      </c>
      <c r="C19" t="inlineStr">
        <is>
          <t>Avverkning för annat ändamål</t>
        </is>
      </c>
      <c r="D19" s="1" t="n">
        <v>45152</v>
      </c>
      <c r="E19" s="1" t="n">
        <v>46218</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s="2" t="inlineStr">
        <is>
          <t>Gullpudra
Källpraktmossa</t>
        </is>
      </c>
      <c r="V19">
        <f>HYPERLINK("https://klasma.github.io/Logging_0665/artfynd/A 36553-2023 artfynd.xlsx", "A 36553-2023")</f>
        <v/>
      </c>
      <c r="W19">
        <f>HYPERLINK("https://klasma.github.io/Logging_0665/kartor/A 36553-2023 karta.png", "A 36553-2023")</f>
        <v/>
      </c>
      <c r="Y19">
        <f>HYPERLINK("https://klasma.github.io/Logging_0665/klagomål/A 36553-2023 FSC-klagomål.docx", "A 36553-2023")</f>
        <v/>
      </c>
      <c r="Z19">
        <f>HYPERLINK("https://klasma.github.io/Logging_0665/klagomålsmail/A 36553-2023 FSC-klagomål mail.docx", "A 36553-2023")</f>
        <v/>
      </c>
      <c r="AA19">
        <f>HYPERLINK("https://klasma.github.io/Logging_0665/tillsyn/A 36553-2023 tillsynsbegäran.docx", "A 36553-2023")</f>
        <v/>
      </c>
      <c r="AB19">
        <f>HYPERLINK("https://klasma.github.io/Logging_0665/tillsynsmail/A 36553-2023 tillsynsbegäran mail.docx", "A 36553-2023")</f>
        <v/>
      </c>
    </row>
    <row r="20" ht="15" customHeight="1">
      <c r="A20" t="inlineStr">
        <is>
          <t>A 28929-2023</t>
        </is>
      </c>
      <c r="B20" t="inlineStr">
        <is>
          <t>avverkningsanmälan</t>
        </is>
      </c>
      <c r="C20" t="inlineStr">
        <is>
          <t>Föryngringsavverkning</t>
        </is>
      </c>
      <c r="D20" s="1" t="n">
        <v>45104</v>
      </c>
      <c r="E20" s="1" t="n">
        <v>46218</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s="2" t="inlineStr">
        <is>
          <t>Västlig hakmossa
Nattviol</t>
        </is>
      </c>
      <c r="V20">
        <f>HYPERLINK("https://klasma.github.io/Logging_0665/artfynd/A 28929-2023 artfynd.xlsx", "A 28929-2023")</f>
        <v/>
      </c>
      <c r="W20">
        <f>HYPERLINK("https://klasma.github.io/Logging_0665/kartor/A 28929-2023 karta.png", "A 28929-2023")</f>
        <v/>
      </c>
      <c r="Y20">
        <f>HYPERLINK("https://klasma.github.io/Logging_0665/klagomål/A 28929-2023 FSC-klagomål.docx", "A 28929-2023")</f>
        <v/>
      </c>
      <c r="Z20">
        <f>HYPERLINK("https://klasma.github.io/Logging_0665/klagomålsmail/A 28929-2023 FSC-klagomål mail.docx", "A 28929-2023")</f>
        <v/>
      </c>
      <c r="AA20">
        <f>HYPERLINK("https://klasma.github.io/Logging_0665/tillsyn/A 28929-2023 tillsynsbegäran.docx", "A 28929-2023")</f>
        <v/>
      </c>
      <c r="AB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46218</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s="2" t="inlineStr">
        <is>
          <t>Backsippa
Backstarr</t>
        </is>
      </c>
      <c r="V21">
        <f>HYPERLINK("https://klasma.github.io/Logging_0665/artfynd/A 8286-2026 artfynd.xlsx", "A 8286-2026")</f>
        <v/>
      </c>
      <c r="W21">
        <f>HYPERLINK("https://klasma.github.io/Logging_0665/kartor/A 8286-2026 karta.png", "A 8286-2026")</f>
        <v/>
      </c>
      <c r="Y21">
        <f>HYPERLINK("https://klasma.github.io/Logging_0665/klagomål/A 8286-2026 FSC-klagomål.docx", "A 8286-2026")</f>
        <v/>
      </c>
      <c r="Z21">
        <f>HYPERLINK("https://klasma.github.io/Logging_0665/klagomålsmail/A 8286-2026 FSC-klagomål mail.docx", "A 8286-2026")</f>
        <v/>
      </c>
      <c r="AA21">
        <f>HYPERLINK("https://klasma.github.io/Logging_0665/tillsyn/A 8286-2026 tillsynsbegäran.docx", "A 8286-2026")</f>
        <v/>
      </c>
      <c r="AB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46218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46218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46218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46218</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s="2" t="inlineStr">
        <is>
          <t>Jungfrulin</t>
        </is>
      </c>
      <c r="V25">
        <f>HYPERLINK("https://klasma.github.io/Logging_0665/artfynd/A 13684-2022 artfynd.xlsx", "A 13684-2022")</f>
        <v/>
      </c>
      <c r="W25">
        <f>HYPERLINK("https://klasma.github.io/Logging_0665/kartor/A 13684-2022 karta.png", "A 13684-2022")</f>
        <v/>
      </c>
      <c r="Y25">
        <f>HYPERLINK("https://klasma.github.io/Logging_0665/klagomål/A 13684-2022 FSC-klagomål.docx", "A 13684-2022")</f>
        <v/>
      </c>
      <c r="Z25">
        <f>HYPERLINK("https://klasma.github.io/Logging_0665/klagomålsmail/A 13684-2022 FSC-klagomål mail.docx", "A 13684-2022")</f>
        <v/>
      </c>
      <c r="AA25">
        <f>HYPERLINK("https://klasma.github.io/Logging_0665/tillsyn/A 13684-2022 tillsynsbegäran.docx", "A 13684-2022")</f>
        <v/>
      </c>
      <c r="AB25">
        <f>HYPERLINK("https://klasma.github.io/Logging_0665/tillsynsmail/A 13684-2022 tillsynsbegäran mail.docx", "A 13684-2022")</f>
        <v/>
      </c>
    </row>
    <row r="26" ht="15" customHeight="1">
      <c r="A26" t="inlineStr">
        <is>
          <t>A 59140-2021</t>
        </is>
      </c>
      <c r="B26" t="inlineStr">
        <is>
          <t>avverkningsanmälan</t>
        </is>
      </c>
      <c r="C26" t="inlineStr">
        <is>
          <t>Föryngringsavverkning</t>
        </is>
      </c>
      <c r="D26" s="1" t="n">
        <v>44490</v>
      </c>
      <c r="E26" s="1" t="n">
        <v>46218</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s="2" t="inlineStr">
        <is>
          <t>Ask</t>
        </is>
      </c>
      <c r="V26">
        <f>HYPERLINK("https://klasma.github.io/Logging_0665/artfynd/A 59140-2021 artfynd.xlsx", "A 59140-2021")</f>
        <v/>
      </c>
      <c r="W26">
        <f>HYPERLINK("https://klasma.github.io/Logging_0665/kartor/A 59140-2021 karta.png", "A 59140-2021")</f>
        <v/>
      </c>
      <c r="Y26">
        <f>HYPERLINK("https://klasma.github.io/Logging_0665/klagomål/A 59140-2021 FSC-klagomål.docx", "A 59140-2021")</f>
        <v/>
      </c>
      <c r="Z26">
        <f>HYPERLINK("https://klasma.github.io/Logging_0665/klagomålsmail/A 59140-2021 FSC-klagomål mail.docx", "A 59140-2021")</f>
        <v/>
      </c>
      <c r="AA26">
        <f>HYPERLINK("https://klasma.github.io/Logging_0665/tillsyn/A 59140-2021 tillsynsbegäran.docx", "A 59140-2021")</f>
        <v/>
      </c>
      <c r="AB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46218</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s="2" t="inlineStr">
        <is>
          <t>Blåmossa</t>
        </is>
      </c>
      <c r="V27">
        <f>HYPERLINK("https://klasma.github.io/Logging_0665/artfynd/A 25653-2024 artfynd.xlsx", "A 25653-2024")</f>
        <v/>
      </c>
      <c r="W27">
        <f>HYPERLINK("https://klasma.github.io/Logging_0665/kartor/A 25653-2024 karta.png", "A 25653-2024")</f>
        <v/>
      </c>
      <c r="Y27">
        <f>HYPERLINK("https://klasma.github.io/Logging_0665/klagomål/A 25653-2024 FSC-klagomål.docx", "A 25653-2024")</f>
        <v/>
      </c>
      <c r="Z27">
        <f>HYPERLINK("https://klasma.github.io/Logging_0665/klagomålsmail/A 25653-2024 FSC-klagomål mail.docx", "A 25653-2024")</f>
        <v/>
      </c>
      <c r="AA27">
        <f>HYPERLINK("https://klasma.github.io/Logging_0665/tillsyn/A 25653-2024 tillsynsbegäran.docx", "A 25653-2024")</f>
        <v/>
      </c>
      <c r="AB27">
        <f>HYPERLINK("https://klasma.github.io/Logging_0665/tillsynsmail/A 25653-2024 tillsynsbegäran mail.docx", "A 25653-2024")</f>
        <v/>
      </c>
    </row>
    <row r="28" ht="15" customHeight="1">
      <c r="A28" t="inlineStr">
        <is>
          <t>A 43652-2023</t>
        </is>
      </c>
      <c r="B28" t="inlineStr">
        <is>
          <t>avverkningsanmälan</t>
        </is>
      </c>
      <c r="C28" t="inlineStr">
        <is>
          <t>Avverkning för annat ändamål</t>
        </is>
      </c>
      <c r="D28" s="1" t="n">
        <v>45187</v>
      </c>
      <c r="E28" s="1" t="n">
        <v>46218</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s="2" t="inlineStr">
        <is>
          <t>Revlummer</t>
        </is>
      </c>
      <c r="V28">
        <f>HYPERLINK("https://klasma.github.io/Logging_0665/artfynd/A 43652-2023 artfynd.xlsx", "A 43652-2023")</f>
        <v/>
      </c>
      <c r="W28">
        <f>HYPERLINK("https://klasma.github.io/Logging_0665/kartor/A 43652-2023 karta.png", "A 43652-2023")</f>
        <v/>
      </c>
      <c r="Y28">
        <f>HYPERLINK("https://klasma.github.io/Logging_0665/klagomål/A 43652-2023 FSC-klagomål.docx", "A 43652-2023")</f>
        <v/>
      </c>
      <c r="Z28">
        <f>HYPERLINK("https://klasma.github.io/Logging_0665/klagomålsmail/A 43652-2023 FSC-klagomål mail.docx", "A 43652-2023")</f>
        <v/>
      </c>
      <c r="AA28">
        <f>HYPERLINK("https://klasma.github.io/Logging_0665/tillsyn/A 43652-2023 tillsynsbegäran.docx", "A 43652-2023")</f>
        <v/>
      </c>
      <c r="AB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46218</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s="2" t="inlineStr">
        <is>
          <t>Blåsippa</t>
        </is>
      </c>
      <c r="V29">
        <f>HYPERLINK("https://klasma.github.io/Logging_0665/artfynd/A 43654-2023 artfynd.xlsx", "A 43654-2023")</f>
        <v/>
      </c>
      <c r="W29">
        <f>HYPERLINK("https://klasma.github.io/Logging_0665/kartor/A 43654-2023 karta.png", "A 43654-2023")</f>
        <v/>
      </c>
      <c r="Y29">
        <f>HYPERLINK("https://klasma.github.io/Logging_0665/klagomål/A 43654-2023 FSC-klagomål.docx", "A 43654-2023")</f>
        <v/>
      </c>
      <c r="Z29">
        <f>HYPERLINK("https://klasma.github.io/Logging_0665/klagomålsmail/A 43654-2023 FSC-klagomål mail.docx", "A 43654-2023")</f>
        <v/>
      </c>
      <c r="AA29">
        <f>HYPERLINK("https://klasma.github.io/Logging_0665/tillsyn/A 43654-2023 tillsynsbegäran.docx", "A 43654-2023")</f>
        <v/>
      </c>
      <c r="AB29">
        <f>HYPERLINK("https://klasma.github.io/Logging_0665/tillsynsmail/A 43654-2023 tillsynsbegäran mail.docx", "A 43654-2023")</f>
        <v/>
      </c>
    </row>
    <row r="30" ht="15" customHeight="1">
      <c r="A30" t="inlineStr">
        <is>
          <t>A 45203-2021</t>
        </is>
      </c>
      <c r="B30" t="inlineStr">
        <is>
          <t>avverkningsanmälan</t>
        </is>
      </c>
      <c r="C30" t="inlineStr">
        <is>
          <t>Föryngringsavverkning</t>
        </is>
      </c>
      <c r="D30" s="1" t="n">
        <v>44438</v>
      </c>
      <c r="E30" s="1" t="n">
        <v>46218</v>
      </c>
      <c r="F30" t="inlineStr">
        <is>
          <t>JÖNKÖPINGS LÄN</t>
        </is>
      </c>
      <c r="G30" t="inlineStr">
        <is>
          <t>VAGGERYD</t>
        </is>
      </c>
      <c r="I30" t="n">
        <v>2.3</v>
      </c>
      <c r="J30" t="n">
        <v>1</v>
      </c>
      <c r="K30" t="n">
        <v>0</v>
      </c>
      <c r="L30" t="n">
        <v>0</v>
      </c>
      <c r="M30" t="n">
        <v>0</v>
      </c>
      <c r="N30" t="n">
        <v>0</v>
      </c>
      <c r="O30" t="n">
        <v>0</v>
      </c>
      <c r="P30" t="n">
        <v>0</v>
      </c>
      <c r="Q30" t="n">
        <v>0</v>
      </c>
      <c r="R30" t="n">
        <v>0</v>
      </c>
      <c r="S30" t="n">
        <v>1</v>
      </c>
      <c r="T30" t="n">
        <v>1</v>
      </c>
      <c r="U30" s="2" t="inlineStr">
        <is>
          <t>Hasselmus</t>
        </is>
      </c>
      <c r="V30">
        <f>HYPERLINK("https://klasma.github.io/Logging_0665/artfynd/A 45203-2021 artfynd.xlsx", "A 45203-2021")</f>
        <v/>
      </c>
      <c r="W30">
        <f>HYPERLINK("https://klasma.github.io/Logging_0665/kartor/A 45203-2021 karta.png", "A 45203-2021")</f>
        <v/>
      </c>
      <c r="Y30">
        <f>HYPERLINK("https://klasma.github.io/Logging_0665/klagomål/A 45203-2021 FSC-klagomål.docx", "A 45203-2021")</f>
        <v/>
      </c>
      <c r="Z30">
        <f>HYPERLINK("https://klasma.github.io/Logging_0665/klagomålsmail/A 45203-2021 FSC-klagomål mail.docx", "A 45203-2021")</f>
        <v/>
      </c>
      <c r="AA30">
        <f>HYPERLINK("https://klasma.github.io/Logging_0665/tillsyn/A 45203-2021 tillsynsbegäran.docx", "A 45203-2021")</f>
        <v/>
      </c>
      <c r="AB30">
        <f>HYPERLINK("https://klasma.github.io/Logging_0665/tillsynsmail/A 45203-2021 tillsynsbegäran mail.docx", "A 45203-2021")</f>
        <v/>
      </c>
    </row>
    <row r="31" ht="15" customHeight="1">
      <c r="A31" t="inlineStr">
        <is>
          <t>A 60509-2025</t>
        </is>
      </c>
      <c r="B31" t="inlineStr">
        <is>
          <t>avverkningsanmälan</t>
        </is>
      </c>
      <c r="C31" t="inlineStr">
        <is>
          <t>Föryngringsavverkning</t>
        </is>
      </c>
      <c r="D31" s="1" t="n">
        <v>45995</v>
      </c>
      <c r="E31" s="1" t="n">
        <v>46218</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s="2" t="inlineStr">
        <is>
          <t>Hasselmus</t>
        </is>
      </c>
      <c r="V31">
        <f>HYPERLINK("https://klasma.github.io/Logging_0665/artfynd/A 60509-2025 artfynd.xlsx", "A 60509-2025")</f>
        <v/>
      </c>
      <c r="W31">
        <f>HYPERLINK("https://klasma.github.io/Logging_0665/kartor/A 60509-2025 karta.png", "A 60509-2025")</f>
        <v/>
      </c>
      <c r="Y31">
        <f>HYPERLINK("https://klasma.github.io/Logging_0665/klagomål/A 60509-2025 FSC-klagomål.docx", "A 60509-2025")</f>
        <v/>
      </c>
      <c r="Z31">
        <f>HYPERLINK("https://klasma.github.io/Logging_0665/klagomålsmail/A 60509-2025 FSC-klagomål mail.docx", "A 60509-2025")</f>
        <v/>
      </c>
      <c r="AA31">
        <f>HYPERLINK("https://klasma.github.io/Logging_0665/tillsyn/A 60509-2025 tillsynsbegäran.docx", "A 60509-2025")</f>
        <v/>
      </c>
      <c r="AB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46218</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s="2" t="inlineStr">
        <is>
          <t>Stenporella</t>
        </is>
      </c>
      <c r="V32">
        <f>HYPERLINK("https://klasma.github.io/Logging_0665/artfynd/A 1420-2026 artfynd.xlsx", "A 1420-2026")</f>
        <v/>
      </c>
      <c r="W32">
        <f>HYPERLINK("https://klasma.github.io/Logging_0665/kartor/A 1420-2026 karta.png", "A 1420-2026")</f>
        <v/>
      </c>
      <c r="Y32">
        <f>HYPERLINK("https://klasma.github.io/Logging_0665/klagomål/A 1420-2026 FSC-klagomål.docx", "A 1420-2026")</f>
        <v/>
      </c>
      <c r="Z32">
        <f>HYPERLINK("https://klasma.github.io/Logging_0665/klagomålsmail/A 1420-2026 FSC-klagomål mail.docx", "A 1420-2026")</f>
        <v/>
      </c>
      <c r="AA32">
        <f>HYPERLINK("https://klasma.github.io/Logging_0665/tillsyn/A 1420-2026 tillsynsbegäran.docx", "A 1420-2026")</f>
        <v/>
      </c>
      <c r="AB32">
        <f>HYPERLINK("https://klasma.github.io/Logging_0665/tillsynsmail/A 1420-2026 tillsynsbegäran mail.docx", "A 1420-2026")</f>
        <v/>
      </c>
    </row>
    <row r="33" ht="15" customHeight="1">
      <c r="A33" t="inlineStr">
        <is>
          <t>A 16941-2023</t>
        </is>
      </c>
      <c r="B33" t="inlineStr">
        <is>
          <t>avverkningsanmälan</t>
        </is>
      </c>
      <c r="C33" t="inlineStr">
        <is>
          <t>Föryngringsavverkning</t>
        </is>
      </c>
      <c r="D33" s="1" t="n">
        <v>45033</v>
      </c>
      <c r="E33" s="1" t="n">
        <v>46218</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s="2" t="inlineStr">
        <is>
          <t>Loppstarr</t>
        </is>
      </c>
      <c r="V33">
        <f>HYPERLINK("https://klasma.github.io/Logging_0665/artfynd/A 16941-2023 artfynd.xlsx", "A 16941-2023")</f>
        <v/>
      </c>
      <c r="W33">
        <f>HYPERLINK("https://klasma.github.io/Logging_0665/kartor/A 16941-2023 karta.png", "A 16941-2023")</f>
        <v/>
      </c>
      <c r="X33">
        <f>HYPERLINK("https://klasma.github.io/Logging_0665/knärot/A 16941-2023 karta knärot.png", "A 16941-2023")</f>
        <v/>
      </c>
      <c r="Y33">
        <f>HYPERLINK("https://klasma.github.io/Logging_0665/klagomål/A 16941-2023 FSC-klagomål.docx", "A 16941-2023")</f>
        <v/>
      </c>
      <c r="Z33">
        <f>HYPERLINK("https://klasma.github.io/Logging_0665/klagomålsmail/A 16941-2023 FSC-klagomål mail.docx", "A 16941-2023")</f>
        <v/>
      </c>
      <c r="AA33">
        <f>HYPERLINK("https://klasma.github.io/Logging_0665/tillsyn/A 16941-2023 tillsynsbegäran.docx", "A 16941-2023")</f>
        <v/>
      </c>
      <c r="AB33">
        <f>HYPERLINK("https://klasma.github.io/Logging_0665/tillsynsmail/A 16941-2023 tillsynsbegäran mail.docx", "A 16941-2023")</f>
        <v/>
      </c>
    </row>
    <row r="34" ht="15" customHeight="1">
      <c r="A34" t="inlineStr">
        <is>
          <t>S 271-2023</t>
        </is>
      </c>
      <c r="B34" t="inlineStr">
        <is>
          <t>samrådsanmälan</t>
        </is>
      </c>
      <c r="C34" t="inlineStr">
        <is>
          <t>Askåterföring</t>
        </is>
      </c>
      <c r="D34" s="1" t="n">
        <v>44955</v>
      </c>
      <c r="E34" s="1" t="n">
        <v>46218</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s="2" t="inlineStr">
        <is>
          <t>Hasselmus</t>
        </is>
      </c>
      <c r="V34">
        <f>HYPERLINK("https://klasma.github.io/Logging_0665/artfynd/S 271-2023 artfynd.xlsx", "S 271-2023")</f>
        <v/>
      </c>
      <c r="W34">
        <f>HYPERLINK("https://klasma.github.io/Logging_0665/kartor/S 271-2023 karta.png", "S 271-2023")</f>
        <v/>
      </c>
      <c r="Y34">
        <f>HYPERLINK("https://klasma.github.io/Logging_0665/klagomål/S 271-2023 FSC-klagomål.docx", "S 271-2023")</f>
        <v/>
      </c>
      <c r="Z34">
        <f>HYPERLINK("https://klasma.github.io/Logging_0665/klagomålsmail/S 271-2023 FSC-klagomål mail.docx", "S 271-2023")</f>
        <v/>
      </c>
      <c r="AA34">
        <f>HYPERLINK("https://klasma.github.io/Logging_0665/tillsyn/S 271-2023 tillsynsbegäran.docx", "S 271-2023")</f>
        <v/>
      </c>
      <c r="AB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46218</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s="2" t="inlineStr">
        <is>
          <t>Slåttergubbe</t>
        </is>
      </c>
      <c r="V35">
        <f>HYPERLINK("https://klasma.github.io/Logging_0665/artfynd/S 76-2022 artfynd.xlsx", "S 76-2022")</f>
        <v/>
      </c>
      <c r="W35">
        <f>HYPERLINK("https://klasma.github.io/Logging_0665/kartor/S 76-2022 karta.png", "S 76-2022")</f>
        <v/>
      </c>
      <c r="Y35">
        <f>HYPERLINK("https://klasma.github.io/Logging_0665/klagomål/S 76-2022 FSC-klagomål.docx", "S 76-2022")</f>
        <v/>
      </c>
      <c r="Z35">
        <f>HYPERLINK("https://klasma.github.io/Logging_0665/klagomålsmail/S 76-2022 FSC-klagomål mail.docx", "S 76-2022")</f>
        <v/>
      </c>
      <c r="AA35">
        <f>HYPERLINK("https://klasma.github.io/Logging_0665/tillsyn/S 76-2022 tillsynsbegäran.docx", "S 76-2022")</f>
        <v/>
      </c>
      <c r="AB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46218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46218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46218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46218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46218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46218</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46218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46218</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46218</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46218</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46218</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46218</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57696-2021</t>
        </is>
      </c>
      <c r="B48" t="inlineStr">
        <is>
          <t>avverkningsanmälan</t>
        </is>
      </c>
      <c r="C48" t="inlineStr">
        <is>
          <t>Avverkning för att bevara och utveckla /försöksver</t>
        </is>
      </c>
      <c r="D48" s="1" t="n">
        <v>44484</v>
      </c>
      <c r="E48" s="1" t="n">
        <v>46218</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52907-2021</t>
        </is>
      </c>
      <c r="B49" t="inlineStr">
        <is>
          <t>avverkningsanmälan</t>
        </is>
      </c>
      <c r="C49" t="inlineStr">
        <is>
          <t>Föryngringsavverkning</t>
        </is>
      </c>
      <c r="D49" s="1" t="n">
        <v>44467</v>
      </c>
      <c r="E49" s="1" t="n">
        <v>46218</v>
      </c>
      <c r="F49" t="inlineStr">
        <is>
          <t>JÖNKÖPINGS LÄN</t>
        </is>
      </c>
      <c r="G49" t="inlineStr">
        <is>
          <t>VAGGERYD</t>
        </is>
      </c>
      <c r="I49" t="n">
        <v>1.2</v>
      </c>
      <c r="J49" t="n">
        <v>0</v>
      </c>
      <c r="K49" t="n">
        <v>0</v>
      </c>
      <c r="L49" t="n">
        <v>0</v>
      </c>
      <c r="M49" t="n">
        <v>0</v>
      </c>
      <c r="N49" t="n">
        <v>0</v>
      </c>
      <c r="O49" t="n">
        <v>0</v>
      </c>
      <c r="P49" t="n">
        <v>0</v>
      </c>
      <c r="Q49" t="n">
        <v>0</v>
      </c>
      <c r="R49" t="n">
        <v>0</v>
      </c>
      <c r="S49" t="n">
        <v>0</v>
      </c>
      <c r="T49" t="n">
        <v>0</v>
      </c>
      <c r="U49" s="2" t="inlineStr"/>
    </row>
    <row r="50" ht="15" customHeight="1">
      <c r="A50" t="inlineStr">
        <is>
          <t>A 56371-2021</t>
        </is>
      </c>
      <c r="B50" t="inlineStr">
        <is>
          <t>avverkningsanmälan</t>
        </is>
      </c>
      <c r="C50" t="inlineStr">
        <is>
          <t>Föryngringsavverkning</t>
        </is>
      </c>
      <c r="D50" s="1" t="n">
        <v>44480</v>
      </c>
      <c r="E50" s="1" t="n">
        <v>46218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46218</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46218</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46218</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46218</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46218</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46218</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46218</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46218</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73189-2021</t>
        </is>
      </c>
      <c r="B59" t="inlineStr">
        <is>
          <t>avverkningsanmälan</t>
        </is>
      </c>
      <c r="C59" t="inlineStr">
        <is>
          <t>Avverkning för att bevara och utveckla /försöksver</t>
        </is>
      </c>
      <c r="D59" s="1" t="n">
        <v>44550</v>
      </c>
      <c r="E59" s="1" t="n">
        <v>46218</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s="2" t="inlineStr"/>
    </row>
    <row r="60" ht="15" customHeight="1">
      <c r="A60" t="inlineStr">
        <is>
          <t>A 73123-2021</t>
        </is>
      </c>
      <c r="B60" t="inlineStr">
        <is>
          <t>avverkningsanmälan</t>
        </is>
      </c>
      <c r="C60" t="inlineStr">
        <is>
          <t>Föryngringsavverkning</t>
        </is>
      </c>
      <c r="D60" s="1" t="n">
        <v>44550</v>
      </c>
      <c r="E60" s="1" t="n">
        <v>46218</v>
      </c>
      <c r="F60" t="inlineStr">
        <is>
          <t>JÖNKÖPINGS LÄN</t>
        </is>
      </c>
      <c r="G60" t="inlineStr">
        <is>
          <t>VAGGERYD</t>
        </is>
      </c>
      <c r="H60" t="inlineStr">
        <is>
          <t>Sveaskog</t>
        </is>
      </c>
      <c r="I60" t="n">
        <v>2.2</v>
      </c>
      <c r="J60" t="n">
        <v>0</v>
      </c>
      <c r="K60" t="n">
        <v>0</v>
      </c>
      <c r="L60" t="n">
        <v>0</v>
      </c>
      <c r="M60" t="n">
        <v>0</v>
      </c>
      <c r="N60" t="n">
        <v>0</v>
      </c>
      <c r="O60" t="n">
        <v>0</v>
      </c>
      <c r="P60" t="n">
        <v>0</v>
      </c>
      <c r="Q60" t="n">
        <v>0</v>
      </c>
      <c r="R60" t="n">
        <v>0</v>
      </c>
      <c r="S60" t="n">
        <v>0</v>
      </c>
      <c r="T60" t="n">
        <v>0</v>
      </c>
      <c r="U60" s="2" t="inlineStr"/>
    </row>
    <row r="61" ht="15" customHeight="1">
      <c r="A61" t="inlineStr">
        <is>
          <t>A 8820-2022</t>
        </is>
      </c>
      <c r="B61" t="inlineStr">
        <is>
          <t>avverkningsanmälan</t>
        </is>
      </c>
      <c r="C61" t="inlineStr">
        <is>
          <t>Föryngringsavverkning</t>
        </is>
      </c>
      <c r="D61" s="1" t="n">
        <v>44614</v>
      </c>
      <c r="E61" s="1" t="n">
        <v>46218</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s="2" t="inlineStr"/>
    </row>
    <row r="62" ht="15" customHeight="1">
      <c r="A62" t="inlineStr">
        <is>
          <t>A 11596-2022</t>
        </is>
      </c>
      <c r="B62" t="inlineStr">
        <is>
          <t>avverkningsanmälan</t>
        </is>
      </c>
      <c r="C62" t="inlineStr">
        <is>
          <t>Föryngringsavverkning</t>
        </is>
      </c>
      <c r="D62" s="1" t="n">
        <v>44631</v>
      </c>
      <c r="E62" s="1" t="n">
        <v>46218</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11637-2022</t>
        </is>
      </c>
      <c r="B63" t="inlineStr">
        <is>
          <t>avverkningsanmälan</t>
        </is>
      </c>
      <c r="C63" t="inlineStr">
        <is>
          <t>Föryngringsavverkning</t>
        </is>
      </c>
      <c r="D63" s="1" t="n">
        <v>44631</v>
      </c>
      <c r="E63" s="1" t="n">
        <v>46218</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s="2" t="inlineStr"/>
    </row>
    <row r="64" ht="15" customHeight="1">
      <c r="A64" t="inlineStr">
        <is>
          <t>A 53697-2021</t>
        </is>
      </c>
      <c r="B64" t="inlineStr">
        <is>
          <t>avverkningsanmälan</t>
        </is>
      </c>
      <c r="C64" t="inlineStr">
        <is>
          <t>Avverkning för annat ändamål</t>
        </is>
      </c>
      <c r="D64" s="1" t="n">
        <v>44469</v>
      </c>
      <c r="E64" s="1" t="n">
        <v>46218</v>
      </c>
      <c r="F64" t="inlineStr">
        <is>
          <t>JÖNKÖPINGS LÄN</t>
        </is>
      </c>
      <c r="G64" t="inlineStr">
        <is>
          <t>VAGGERYD</t>
        </is>
      </c>
      <c r="I64" t="n">
        <v>1.7</v>
      </c>
      <c r="J64" t="n">
        <v>0</v>
      </c>
      <c r="K64" t="n">
        <v>0</v>
      </c>
      <c r="L64" t="n">
        <v>0</v>
      </c>
      <c r="M64" t="n">
        <v>0</v>
      </c>
      <c r="N64" t="n">
        <v>0</v>
      </c>
      <c r="O64" t="n">
        <v>0</v>
      </c>
      <c r="P64" t="n">
        <v>0</v>
      </c>
      <c r="Q64" t="n">
        <v>0</v>
      </c>
      <c r="R64" t="n">
        <v>0</v>
      </c>
      <c r="S64" t="n">
        <v>0</v>
      </c>
      <c r="T64" t="n">
        <v>0</v>
      </c>
      <c r="U64" s="2" t="inlineStr"/>
    </row>
    <row r="65" ht="15" customHeight="1">
      <c r="A65" t="inlineStr">
        <is>
          <t>A 50014-2022</t>
        </is>
      </c>
      <c r="B65" t="inlineStr">
        <is>
          <t>avverkningsanmälan</t>
        </is>
      </c>
      <c r="C65" t="inlineStr">
        <is>
          <t>Föryngringsavverkning</t>
        </is>
      </c>
      <c r="D65" s="1" t="n">
        <v>44865</v>
      </c>
      <c r="E65" s="1" t="n">
        <v>46218</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s="2" t="inlineStr"/>
    </row>
    <row r="66" ht="15" customHeight="1">
      <c r="A66" t="inlineStr">
        <is>
          <t>A 53570-2022</t>
        </is>
      </c>
      <c r="B66" t="inlineStr">
        <is>
          <t>avverkningsanmälan</t>
        </is>
      </c>
      <c r="C66" t="inlineStr">
        <is>
          <t>Föryngringsavverkning</t>
        </is>
      </c>
      <c r="D66" s="1" t="n">
        <v>44879</v>
      </c>
      <c r="E66" s="1" t="n">
        <v>46218</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s="2" t="inlineStr"/>
    </row>
    <row r="67" ht="15" customHeight="1">
      <c r="A67" t="inlineStr">
        <is>
          <t>A 67908-2021</t>
        </is>
      </c>
      <c r="B67" t="inlineStr">
        <is>
          <t>avverkningsanmälan</t>
        </is>
      </c>
      <c r="C67" t="inlineStr">
        <is>
          <t>Föryngringsavverkning</t>
        </is>
      </c>
      <c r="D67" s="1" t="n">
        <v>44525</v>
      </c>
      <c r="E67" s="1" t="n">
        <v>46218</v>
      </c>
      <c r="F67" t="inlineStr">
        <is>
          <t>JÖNKÖPINGS LÄN</t>
        </is>
      </c>
      <c r="G67" t="inlineStr">
        <is>
          <t>VAGGERYD</t>
        </is>
      </c>
      <c r="H67" t="inlineStr">
        <is>
          <t>Sveaskog</t>
        </is>
      </c>
      <c r="I67" t="n">
        <v>2</v>
      </c>
      <c r="J67" t="n">
        <v>0</v>
      </c>
      <c r="K67" t="n">
        <v>0</v>
      </c>
      <c r="L67" t="n">
        <v>0</v>
      </c>
      <c r="M67" t="n">
        <v>0</v>
      </c>
      <c r="N67" t="n">
        <v>0</v>
      </c>
      <c r="O67" t="n">
        <v>0</v>
      </c>
      <c r="P67" t="n">
        <v>0</v>
      </c>
      <c r="Q67" t="n">
        <v>0</v>
      </c>
      <c r="R67" t="n">
        <v>0</v>
      </c>
      <c r="S67" t="n">
        <v>0</v>
      </c>
      <c r="T67" t="n">
        <v>0</v>
      </c>
      <c r="U67" s="2" t="inlineStr"/>
    </row>
    <row r="68" ht="15" customHeight="1">
      <c r="A68" t="inlineStr">
        <is>
          <t>A 52899-2021</t>
        </is>
      </c>
      <c r="B68" t="inlineStr">
        <is>
          <t>avverkningsanmälan</t>
        </is>
      </c>
      <c r="C68" t="inlineStr">
        <is>
          <t>Föryngringsavverkning</t>
        </is>
      </c>
      <c r="D68" s="1" t="n">
        <v>44467</v>
      </c>
      <c r="E68" s="1" t="n">
        <v>46218</v>
      </c>
      <c r="F68" t="inlineStr">
        <is>
          <t>JÖNKÖPINGS LÄN</t>
        </is>
      </c>
      <c r="G68" t="inlineStr">
        <is>
          <t>VAGGERYD</t>
        </is>
      </c>
      <c r="I68" t="n">
        <v>0.6</v>
      </c>
      <c r="J68" t="n">
        <v>0</v>
      </c>
      <c r="K68" t="n">
        <v>0</v>
      </c>
      <c r="L68" t="n">
        <v>0</v>
      </c>
      <c r="M68" t="n">
        <v>0</v>
      </c>
      <c r="N68" t="n">
        <v>0</v>
      </c>
      <c r="O68" t="n">
        <v>0</v>
      </c>
      <c r="P68" t="n">
        <v>0</v>
      </c>
      <c r="Q68" t="n">
        <v>0</v>
      </c>
      <c r="R68" t="n">
        <v>0</v>
      </c>
      <c r="S68" t="n">
        <v>0</v>
      </c>
      <c r="T68" t="n">
        <v>0</v>
      </c>
      <c r="U68" s="2" t="inlineStr"/>
    </row>
    <row r="69" ht="15" customHeight="1">
      <c r="A69" t="inlineStr">
        <is>
          <t>A 49133-2021</t>
        </is>
      </c>
      <c r="B69" t="inlineStr">
        <is>
          <t>avverkningsanmälan</t>
        </is>
      </c>
      <c r="C69" t="inlineStr">
        <is>
          <t>Föryngringsavverkning</t>
        </is>
      </c>
      <c r="D69" s="1" t="n">
        <v>44453</v>
      </c>
      <c r="E69" s="1" t="n">
        <v>46218</v>
      </c>
      <c r="F69" t="inlineStr">
        <is>
          <t>JÖNKÖPINGS LÄN</t>
        </is>
      </c>
      <c r="G69" t="inlineStr">
        <is>
          <t>VAGGERYD</t>
        </is>
      </c>
      <c r="I69" t="n">
        <v>1.1</v>
      </c>
      <c r="J69" t="n">
        <v>0</v>
      </c>
      <c r="K69" t="n">
        <v>0</v>
      </c>
      <c r="L69" t="n">
        <v>0</v>
      </c>
      <c r="M69" t="n">
        <v>0</v>
      </c>
      <c r="N69" t="n">
        <v>0</v>
      </c>
      <c r="O69" t="n">
        <v>0</v>
      </c>
      <c r="P69" t="n">
        <v>0</v>
      </c>
      <c r="Q69" t="n">
        <v>0</v>
      </c>
      <c r="R69" t="n">
        <v>0</v>
      </c>
      <c r="S69" t="n">
        <v>0</v>
      </c>
      <c r="T69" t="n">
        <v>0</v>
      </c>
      <c r="U69" s="2" t="inlineStr"/>
    </row>
    <row r="70" ht="15" customHeight="1">
      <c r="A70" t="inlineStr">
        <is>
          <t>A 49130-2021</t>
        </is>
      </c>
      <c r="B70" t="inlineStr">
        <is>
          <t>avverkningsanmälan</t>
        </is>
      </c>
      <c r="C70" t="inlineStr">
        <is>
          <t>Föryngringsavverkning</t>
        </is>
      </c>
      <c r="D70" s="1" t="n">
        <v>44453</v>
      </c>
      <c r="E70" s="1" t="n">
        <v>46218</v>
      </c>
      <c r="F70" t="inlineStr">
        <is>
          <t>JÖNKÖPINGS LÄN</t>
        </is>
      </c>
      <c r="G70" t="inlineStr">
        <is>
          <t>VAGGERYD</t>
        </is>
      </c>
      <c r="I70" t="n">
        <v>0.3</v>
      </c>
      <c r="J70" t="n">
        <v>0</v>
      </c>
      <c r="K70" t="n">
        <v>0</v>
      </c>
      <c r="L70" t="n">
        <v>0</v>
      </c>
      <c r="M70" t="n">
        <v>0</v>
      </c>
      <c r="N70" t="n">
        <v>0</v>
      </c>
      <c r="O70" t="n">
        <v>0</v>
      </c>
      <c r="P70" t="n">
        <v>0</v>
      </c>
      <c r="Q70" t="n">
        <v>0</v>
      </c>
      <c r="R70" t="n">
        <v>0</v>
      </c>
      <c r="S70" t="n">
        <v>0</v>
      </c>
      <c r="T70" t="n">
        <v>0</v>
      </c>
      <c r="U70" s="2" t="inlineStr"/>
    </row>
    <row r="71" ht="15" customHeight="1">
      <c r="A71" t="inlineStr">
        <is>
          <t>A 49131-2021</t>
        </is>
      </c>
      <c r="B71" t="inlineStr">
        <is>
          <t>avverkningsanmälan</t>
        </is>
      </c>
      <c r="C71" t="inlineStr">
        <is>
          <t>Föryngringsavverkning</t>
        </is>
      </c>
      <c r="D71" s="1" t="n">
        <v>44453</v>
      </c>
      <c r="E71" s="1" t="n">
        <v>46218</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s="2" t="inlineStr"/>
    </row>
    <row r="72" ht="15" customHeight="1">
      <c r="A72" t="inlineStr">
        <is>
          <t>A 17672-2022</t>
        </is>
      </c>
      <c r="B72" t="inlineStr">
        <is>
          <t>avverkningsanmälan</t>
        </is>
      </c>
      <c r="C72" t="inlineStr">
        <is>
          <t>Föryngringsavverkning</t>
        </is>
      </c>
      <c r="D72" s="1" t="n">
        <v>44680</v>
      </c>
      <c r="E72" s="1" t="n">
        <v>46218</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s="2" t="inlineStr"/>
    </row>
    <row r="73" ht="15" customHeight="1">
      <c r="A73" t="inlineStr">
        <is>
          <t>A 70446-2021</t>
        </is>
      </c>
      <c r="B73" t="inlineStr">
        <is>
          <t>avverkningsanmälan</t>
        </is>
      </c>
      <c r="C73" t="inlineStr">
        <is>
          <t>Föryngringsavverkning</t>
        </is>
      </c>
      <c r="D73" s="1" t="n">
        <v>44536</v>
      </c>
      <c r="E73" s="1" t="n">
        <v>46218</v>
      </c>
      <c r="F73" t="inlineStr">
        <is>
          <t>JÖNKÖPINGS LÄN</t>
        </is>
      </c>
      <c r="G73" t="inlineStr">
        <is>
          <t>VAGGERYD</t>
        </is>
      </c>
      <c r="I73" t="n">
        <v>0.6</v>
      </c>
      <c r="J73" t="n">
        <v>0</v>
      </c>
      <c r="K73" t="n">
        <v>0</v>
      </c>
      <c r="L73" t="n">
        <v>0</v>
      </c>
      <c r="M73" t="n">
        <v>0</v>
      </c>
      <c r="N73" t="n">
        <v>0</v>
      </c>
      <c r="O73" t="n">
        <v>0</v>
      </c>
      <c r="P73" t="n">
        <v>0</v>
      </c>
      <c r="Q73" t="n">
        <v>0</v>
      </c>
      <c r="R73" t="n">
        <v>0</v>
      </c>
      <c r="S73" t="n">
        <v>0</v>
      </c>
      <c r="T73" t="n">
        <v>0</v>
      </c>
      <c r="U73" s="2" t="inlineStr"/>
    </row>
    <row r="74" ht="15" customHeight="1">
      <c r="A74" t="inlineStr">
        <is>
          <t>A 49152-2021</t>
        </is>
      </c>
      <c r="B74" t="inlineStr">
        <is>
          <t>avverkningsanmälan</t>
        </is>
      </c>
      <c r="C74" t="inlineStr">
        <is>
          <t>Föryngringsavverkning</t>
        </is>
      </c>
      <c r="D74" s="1" t="n">
        <v>44453</v>
      </c>
      <c r="E74" s="1" t="n">
        <v>46218</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64065-2021</t>
        </is>
      </c>
      <c r="B75" t="inlineStr">
        <is>
          <t>avverkningsanmälan</t>
        </is>
      </c>
      <c r="C75" t="inlineStr">
        <is>
          <t>Föryngringsavverkning</t>
        </is>
      </c>
      <c r="D75" s="1" t="n">
        <v>44510</v>
      </c>
      <c r="E75" s="1" t="n">
        <v>46218</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s="2" t="inlineStr"/>
    </row>
    <row r="76" ht="15" customHeight="1">
      <c r="A76" t="inlineStr">
        <is>
          <t>A 64069-2021</t>
        </is>
      </c>
      <c r="B76" t="inlineStr">
        <is>
          <t>avverkningsanmälan</t>
        </is>
      </c>
      <c r="C76" t="inlineStr">
        <is>
          <t>Föryngringsavverkning</t>
        </is>
      </c>
      <c r="D76" s="1" t="n">
        <v>44510</v>
      </c>
      <c r="E76" s="1" t="n">
        <v>46218</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s="2" t="inlineStr"/>
    </row>
    <row r="77" ht="15" customHeight="1">
      <c r="A77" t="inlineStr">
        <is>
          <t>A 38946-2022</t>
        </is>
      </c>
      <c r="B77" t="inlineStr">
        <is>
          <t>avverkningsanmälan</t>
        </is>
      </c>
      <c r="C77" t="inlineStr">
        <is>
          <t>Föryngringsavverkning</t>
        </is>
      </c>
      <c r="D77" s="1" t="n">
        <v>44816</v>
      </c>
      <c r="E77" s="1" t="n">
        <v>46218</v>
      </c>
      <c r="F77" t="inlineStr">
        <is>
          <t>JÖNKÖPINGS LÄN</t>
        </is>
      </c>
      <c r="G77" t="inlineStr">
        <is>
          <t>VAGGERYD</t>
        </is>
      </c>
      <c r="I77" t="n">
        <v>1</v>
      </c>
      <c r="J77" t="n">
        <v>0</v>
      </c>
      <c r="K77" t="n">
        <v>0</v>
      </c>
      <c r="L77" t="n">
        <v>0</v>
      </c>
      <c r="M77" t="n">
        <v>0</v>
      </c>
      <c r="N77" t="n">
        <v>0</v>
      </c>
      <c r="O77" t="n">
        <v>0</v>
      </c>
      <c r="P77" t="n">
        <v>0</v>
      </c>
      <c r="Q77" t="n">
        <v>0</v>
      </c>
      <c r="R77" t="n">
        <v>0</v>
      </c>
      <c r="S77" t="n">
        <v>0</v>
      </c>
      <c r="T77" t="n">
        <v>0</v>
      </c>
      <c r="U77" s="2" t="inlineStr"/>
    </row>
    <row r="78" ht="15" customHeight="1">
      <c r="A78" t="inlineStr">
        <is>
          <t>A 35450-2022</t>
        </is>
      </c>
      <c r="B78" t="inlineStr">
        <is>
          <t>avverkningsanmälan</t>
        </is>
      </c>
      <c r="C78" t="inlineStr">
        <is>
          <t>Föryngringsavverkning</t>
        </is>
      </c>
      <c r="D78" s="1" t="n">
        <v>44798</v>
      </c>
      <c r="E78" s="1" t="n">
        <v>46218</v>
      </c>
      <c r="F78" t="inlineStr">
        <is>
          <t>JÖNKÖPINGS LÄN</t>
        </is>
      </c>
      <c r="G78" t="inlineStr">
        <is>
          <t>VAGGERYD</t>
        </is>
      </c>
      <c r="I78" t="n">
        <v>0.5</v>
      </c>
      <c r="J78" t="n">
        <v>0</v>
      </c>
      <c r="K78" t="n">
        <v>0</v>
      </c>
      <c r="L78" t="n">
        <v>0</v>
      </c>
      <c r="M78" t="n">
        <v>0</v>
      </c>
      <c r="N78" t="n">
        <v>0</v>
      </c>
      <c r="O78" t="n">
        <v>0</v>
      </c>
      <c r="P78" t="n">
        <v>0</v>
      </c>
      <c r="Q78" t="n">
        <v>0</v>
      </c>
      <c r="R78" t="n">
        <v>0</v>
      </c>
      <c r="S78" t="n">
        <v>0</v>
      </c>
      <c r="T78" t="n">
        <v>0</v>
      </c>
      <c r="U78" s="2" t="inlineStr"/>
    </row>
    <row r="79" ht="15" customHeight="1">
      <c r="A79" t="inlineStr">
        <is>
          <t>A 2322-2022</t>
        </is>
      </c>
      <c r="B79" t="inlineStr">
        <is>
          <t>avverkningsanmälan</t>
        </is>
      </c>
      <c r="C79" t="inlineStr">
        <is>
          <t>Föryngringsavverkning</t>
        </is>
      </c>
      <c r="D79" s="1" t="n">
        <v>44578</v>
      </c>
      <c r="E79" s="1" t="n">
        <v>46218</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s="2" t="inlineStr"/>
    </row>
    <row r="80" ht="15" customHeight="1">
      <c r="A80" t="inlineStr">
        <is>
          <t>A 59040-2021</t>
        </is>
      </c>
      <c r="B80" t="inlineStr">
        <is>
          <t>avverkningsanmälan</t>
        </is>
      </c>
      <c r="C80" t="inlineStr">
        <is>
          <t>Föryngringsavverkning</t>
        </is>
      </c>
      <c r="D80" s="1" t="n">
        <v>44490</v>
      </c>
      <c r="E80" s="1" t="n">
        <v>46218</v>
      </c>
      <c r="F80" t="inlineStr">
        <is>
          <t>JÖNKÖPINGS LÄN</t>
        </is>
      </c>
      <c r="G80" t="inlineStr">
        <is>
          <t>VAGGERYD</t>
        </is>
      </c>
      <c r="H80" t="inlineStr">
        <is>
          <t>Sveaskog</t>
        </is>
      </c>
      <c r="I80" t="n">
        <v>0.6</v>
      </c>
      <c r="J80" t="n">
        <v>0</v>
      </c>
      <c r="K80" t="n">
        <v>0</v>
      </c>
      <c r="L80" t="n">
        <v>0</v>
      </c>
      <c r="M80" t="n">
        <v>0</v>
      </c>
      <c r="N80" t="n">
        <v>0</v>
      </c>
      <c r="O80" t="n">
        <v>0</v>
      </c>
      <c r="P80" t="n">
        <v>0</v>
      </c>
      <c r="Q80" t="n">
        <v>0</v>
      </c>
      <c r="R80" t="n">
        <v>0</v>
      </c>
      <c r="S80" t="n">
        <v>0</v>
      </c>
      <c r="T80" t="n">
        <v>0</v>
      </c>
      <c r="U80" s="2" t="inlineStr"/>
    </row>
    <row r="81" ht="15" customHeight="1">
      <c r="A81" t="inlineStr">
        <is>
          <t>A 70240-2021</t>
        </is>
      </c>
      <c r="B81" t="inlineStr">
        <is>
          <t>avverkningsanmälan</t>
        </is>
      </c>
      <c r="C81" t="inlineStr">
        <is>
          <t>Föryngringsavverkning</t>
        </is>
      </c>
      <c r="D81" s="1" t="n">
        <v>44536</v>
      </c>
      <c r="E81" s="1" t="n">
        <v>46218</v>
      </c>
      <c r="F81" t="inlineStr">
        <is>
          <t>JÖNKÖPINGS LÄN</t>
        </is>
      </c>
      <c r="G81" t="inlineStr">
        <is>
          <t>VAGGERYD</t>
        </is>
      </c>
      <c r="H81" t="inlineStr">
        <is>
          <t>Sveaskog</t>
        </is>
      </c>
      <c r="I81" t="n">
        <v>1.3</v>
      </c>
      <c r="J81" t="n">
        <v>0</v>
      </c>
      <c r="K81" t="n">
        <v>0</v>
      </c>
      <c r="L81" t="n">
        <v>0</v>
      </c>
      <c r="M81" t="n">
        <v>0</v>
      </c>
      <c r="N81" t="n">
        <v>0</v>
      </c>
      <c r="O81" t="n">
        <v>0</v>
      </c>
      <c r="P81" t="n">
        <v>0</v>
      </c>
      <c r="Q81" t="n">
        <v>0</v>
      </c>
      <c r="R81" t="n">
        <v>0</v>
      </c>
      <c r="S81" t="n">
        <v>0</v>
      </c>
      <c r="T81" t="n">
        <v>0</v>
      </c>
      <c r="U81" s="2" t="inlineStr"/>
    </row>
    <row r="82" ht="15" customHeight="1">
      <c r="A82" t="inlineStr">
        <is>
          <t>A 13675-2022</t>
        </is>
      </c>
      <c r="B82" t="inlineStr">
        <is>
          <t>avverkningsanmälan</t>
        </is>
      </c>
      <c r="C82" t="inlineStr">
        <is>
          <t>Föryngringsavverkning</t>
        </is>
      </c>
      <c r="D82" s="1" t="n">
        <v>44648</v>
      </c>
      <c r="E82" s="1" t="n">
        <v>46218</v>
      </c>
      <c r="F82" t="inlineStr">
        <is>
          <t>JÖNKÖPINGS LÄN</t>
        </is>
      </c>
      <c r="G82" t="inlineStr">
        <is>
          <t>VAGGERYD</t>
        </is>
      </c>
      <c r="I82" t="n">
        <v>0.7</v>
      </c>
      <c r="J82" t="n">
        <v>0</v>
      </c>
      <c r="K82" t="n">
        <v>0</v>
      </c>
      <c r="L82" t="n">
        <v>0</v>
      </c>
      <c r="M82" t="n">
        <v>0</v>
      </c>
      <c r="N82" t="n">
        <v>0</v>
      </c>
      <c r="O82" t="n">
        <v>0</v>
      </c>
      <c r="P82" t="n">
        <v>0</v>
      </c>
      <c r="Q82" t="n">
        <v>0</v>
      </c>
      <c r="R82" t="n">
        <v>0</v>
      </c>
      <c r="S82" t="n">
        <v>0</v>
      </c>
      <c r="T82" t="n">
        <v>0</v>
      </c>
      <c r="U82" s="2" t="inlineStr"/>
    </row>
    <row r="83" ht="15" customHeight="1">
      <c r="A83" t="inlineStr">
        <is>
          <t>A 36138-2022</t>
        </is>
      </c>
      <c r="B83" t="inlineStr">
        <is>
          <t>avverkningsanmälan</t>
        </is>
      </c>
      <c r="C83" t="inlineStr">
        <is>
          <t>Föryngringsavverkning</t>
        </is>
      </c>
      <c r="D83" s="1" t="n">
        <v>44803</v>
      </c>
      <c r="E83" s="1" t="n">
        <v>46218</v>
      </c>
      <c r="F83" t="inlineStr">
        <is>
          <t>JÖNKÖPINGS LÄN</t>
        </is>
      </c>
      <c r="G83" t="inlineStr">
        <is>
          <t>VAGGERYD</t>
        </is>
      </c>
      <c r="I83" t="n">
        <v>0.5</v>
      </c>
      <c r="J83" t="n">
        <v>0</v>
      </c>
      <c r="K83" t="n">
        <v>0</v>
      </c>
      <c r="L83" t="n">
        <v>0</v>
      </c>
      <c r="M83" t="n">
        <v>0</v>
      </c>
      <c r="N83" t="n">
        <v>0</v>
      </c>
      <c r="O83" t="n">
        <v>0</v>
      </c>
      <c r="P83" t="n">
        <v>0</v>
      </c>
      <c r="Q83" t="n">
        <v>0</v>
      </c>
      <c r="R83" t="n">
        <v>0</v>
      </c>
      <c r="S83" t="n">
        <v>0</v>
      </c>
      <c r="T83" t="n">
        <v>0</v>
      </c>
      <c r="U83" s="2" t="inlineStr"/>
    </row>
    <row r="84" ht="15" customHeight="1">
      <c r="A84" t="inlineStr">
        <is>
          <t>A 48777-2021</t>
        </is>
      </c>
      <c r="B84" t="inlineStr">
        <is>
          <t>avverkningsanmälan</t>
        </is>
      </c>
      <c r="C84" t="inlineStr">
        <is>
          <t>Föryngringsavverkning</t>
        </is>
      </c>
      <c r="D84" s="1" t="n">
        <v>44452</v>
      </c>
      <c r="E84" s="1" t="n">
        <v>46218</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s="2" t="inlineStr"/>
    </row>
    <row r="85" ht="15" customHeight="1">
      <c r="A85" t="inlineStr">
        <is>
          <t>A 53697-2022</t>
        </is>
      </c>
      <c r="B85" t="inlineStr">
        <is>
          <t>avverkningsanmälan</t>
        </is>
      </c>
      <c r="C85" t="inlineStr">
        <is>
          <t>Föryngringsavverkning</t>
        </is>
      </c>
      <c r="D85" s="1" t="n">
        <v>44880</v>
      </c>
      <c r="E85" s="1" t="n">
        <v>46218</v>
      </c>
      <c r="F85" t="inlineStr">
        <is>
          <t>JÖNKÖPINGS LÄN</t>
        </is>
      </c>
      <c r="G85" t="inlineStr">
        <is>
          <t>VAGGERYD</t>
        </is>
      </c>
      <c r="I85" t="n">
        <v>4</v>
      </c>
      <c r="J85" t="n">
        <v>0</v>
      </c>
      <c r="K85" t="n">
        <v>0</v>
      </c>
      <c r="L85" t="n">
        <v>0</v>
      </c>
      <c r="M85" t="n">
        <v>0</v>
      </c>
      <c r="N85" t="n">
        <v>0</v>
      </c>
      <c r="O85" t="n">
        <v>0</v>
      </c>
      <c r="P85" t="n">
        <v>0</v>
      </c>
      <c r="Q85" t="n">
        <v>0</v>
      </c>
      <c r="R85" t="n">
        <v>0</v>
      </c>
      <c r="S85" t="n">
        <v>0</v>
      </c>
      <c r="T85" t="n">
        <v>0</v>
      </c>
      <c r="U85" s="2" t="inlineStr"/>
    </row>
    <row r="86" ht="15" customHeight="1">
      <c r="A86" t="inlineStr">
        <is>
          <t>A 20251-2025</t>
        </is>
      </c>
      <c r="B86" t="inlineStr">
        <is>
          <t>avverkningsanmälan</t>
        </is>
      </c>
      <c r="C86" t="inlineStr">
        <is>
          <t>Avverkning för annat ändamål</t>
        </is>
      </c>
      <c r="D86" s="1" t="n">
        <v>45772</v>
      </c>
      <c r="E86" s="1" t="n">
        <v>46218</v>
      </c>
      <c r="F86" t="inlineStr">
        <is>
          <t>JÖNKÖPINGS LÄN</t>
        </is>
      </c>
      <c r="G86" t="inlineStr">
        <is>
          <t>VAGGERYD</t>
        </is>
      </c>
      <c r="I86" t="n">
        <v>0.6</v>
      </c>
      <c r="J86" t="n">
        <v>0</v>
      </c>
      <c r="K86" t="n">
        <v>0</v>
      </c>
      <c r="L86" t="n">
        <v>0</v>
      </c>
      <c r="M86" t="n">
        <v>0</v>
      </c>
      <c r="N86" t="n">
        <v>0</v>
      </c>
      <c r="O86" t="n">
        <v>0</v>
      </c>
      <c r="P86" t="n">
        <v>0</v>
      </c>
      <c r="Q86" t="n">
        <v>0</v>
      </c>
      <c r="R86" t="n">
        <v>0</v>
      </c>
      <c r="S86" t="n">
        <v>0</v>
      </c>
      <c r="T86" t="n">
        <v>0</v>
      </c>
      <c r="U86" s="2" t="inlineStr"/>
    </row>
    <row r="87" ht="15" customHeight="1">
      <c r="A87" t="inlineStr">
        <is>
          <t>A 26839-2023</t>
        </is>
      </c>
      <c r="B87" t="inlineStr">
        <is>
          <t>avverkningsanmälan</t>
        </is>
      </c>
      <c r="C87" t="inlineStr">
        <is>
          <t>Föryngringsavverkning</t>
        </is>
      </c>
      <c r="D87" s="1" t="n">
        <v>45093</v>
      </c>
      <c r="E87" s="1" t="n">
        <v>46218</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s="2" t="inlineStr"/>
    </row>
    <row r="88" ht="15" customHeight="1">
      <c r="A88" t="inlineStr">
        <is>
          <t>A 73108-2021</t>
        </is>
      </c>
      <c r="B88" t="inlineStr">
        <is>
          <t>avverkningsanmälan</t>
        </is>
      </c>
      <c r="C88" t="inlineStr">
        <is>
          <t>Avverkning för att bevara och utveckla /försöksver</t>
        </is>
      </c>
      <c r="D88" s="1" t="n">
        <v>44550</v>
      </c>
      <c r="E88" s="1" t="n">
        <v>46218</v>
      </c>
      <c r="F88" t="inlineStr">
        <is>
          <t>JÖNKÖPINGS LÄN</t>
        </is>
      </c>
      <c r="G88" t="inlineStr">
        <is>
          <t>VAGGERYD</t>
        </is>
      </c>
      <c r="H88" t="inlineStr">
        <is>
          <t>Sveaskog</t>
        </is>
      </c>
      <c r="I88" t="n">
        <v>1.7</v>
      </c>
      <c r="J88" t="n">
        <v>0</v>
      </c>
      <c r="K88" t="n">
        <v>0</v>
      </c>
      <c r="L88" t="n">
        <v>0</v>
      </c>
      <c r="M88" t="n">
        <v>0</v>
      </c>
      <c r="N88" t="n">
        <v>0</v>
      </c>
      <c r="O88" t="n">
        <v>0</v>
      </c>
      <c r="P88" t="n">
        <v>0</v>
      </c>
      <c r="Q88" t="n">
        <v>0</v>
      </c>
      <c r="R88" t="n">
        <v>0</v>
      </c>
      <c r="S88" t="n">
        <v>0</v>
      </c>
      <c r="T88" t="n">
        <v>0</v>
      </c>
      <c r="U88" s="2" t="inlineStr"/>
    </row>
    <row r="89" ht="15" customHeight="1">
      <c r="A89" t="inlineStr">
        <is>
          <t>A 62343-2022</t>
        </is>
      </c>
      <c r="B89" t="inlineStr">
        <is>
          <t>avverkningsanmälan</t>
        </is>
      </c>
      <c r="C89" t="inlineStr">
        <is>
          <t>Föryngringsavverkning</t>
        </is>
      </c>
      <c r="D89" s="1" t="n">
        <v>44916</v>
      </c>
      <c r="E89" s="1" t="n">
        <v>46218</v>
      </c>
      <c r="F89" t="inlineStr">
        <is>
          <t>JÖNKÖPINGS LÄN</t>
        </is>
      </c>
      <c r="G89" t="inlineStr">
        <is>
          <t>VAGGERYD</t>
        </is>
      </c>
      <c r="H89" t="inlineStr">
        <is>
          <t>Övriga Aktiebolag</t>
        </is>
      </c>
      <c r="I89" t="n">
        <v>7.7</v>
      </c>
      <c r="J89" t="n">
        <v>0</v>
      </c>
      <c r="K89" t="n">
        <v>0</v>
      </c>
      <c r="L89" t="n">
        <v>0</v>
      </c>
      <c r="M89" t="n">
        <v>0</v>
      </c>
      <c r="N89" t="n">
        <v>0</v>
      </c>
      <c r="O89" t="n">
        <v>0</v>
      </c>
      <c r="P89" t="n">
        <v>0</v>
      </c>
      <c r="Q89" t="n">
        <v>0</v>
      </c>
      <c r="R89" t="n">
        <v>0</v>
      </c>
      <c r="S89" t="n">
        <v>0</v>
      </c>
      <c r="T89" t="n">
        <v>0</v>
      </c>
      <c r="U89" s="2" t="inlineStr"/>
    </row>
    <row r="90" ht="15" customHeight="1">
      <c r="A90" t="inlineStr">
        <is>
          <t>A 12876-2024</t>
        </is>
      </c>
      <c r="B90" t="inlineStr">
        <is>
          <t>avverkningsanmälan</t>
        </is>
      </c>
      <c r="C90" t="inlineStr">
        <is>
          <t>Föryngringsavverkning</t>
        </is>
      </c>
      <c r="D90" s="1" t="n">
        <v>45385</v>
      </c>
      <c r="E90" s="1" t="n">
        <v>46218</v>
      </c>
      <c r="F90" t="inlineStr">
        <is>
          <t>JÖNKÖPINGS LÄN</t>
        </is>
      </c>
      <c r="G90" t="inlineStr">
        <is>
          <t>VAGGERYD</t>
        </is>
      </c>
      <c r="I90" t="n">
        <v>3.2</v>
      </c>
      <c r="J90" t="n">
        <v>0</v>
      </c>
      <c r="K90" t="n">
        <v>0</v>
      </c>
      <c r="L90" t="n">
        <v>0</v>
      </c>
      <c r="M90" t="n">
        <v>0</v>
      </c>
      <c r="N90" t="n">
        <v>0</v>
      </c>
      <c r="O90" t="n">
        <v>0</v>
      </c>
      <c r="P90" t="n">
        <v>0</v>
      </c>
      <c r="Q90" t="n">
        <v>0</v>
      </c>
      <c r="R90" t="n">
        <v>0</v>
      </c>
      <c r="S90" t="n">
        <v>0</v>
      </c>
      <c r="T90" t="n">
        <v>0</v>
      </c>
      <c r="U90" s="2" t="inlineStr"/>
    </row>
    <row r="91" ht="15" customHeight="1">
      <c r="A91" t="inlineStr">
        <is>
          <t>A 57245-2022</t>
        </is>
      </c>
      <c r="B91" t="inlineStr">
        <is>
          <t>avverkningsanmälan</t>
        </is>
      </c>
      <c r="C91" t="inlineStr">
        <is>
          <t>Avverkning för annat ändamål</t>
        </is>
      </c>
      <c r="D91" s="1" t="n">
        <v>44895</v>
      </c>
      <c r="E91" s="1" t="n">
        <v>46218</v>
      </c>
      <c r="F91" t="inlineStr">
        <is>
          <t>JÖNKÖPINGS LÄN</t>
        </is>
      </c>
      <c r="G91" t="inlineStr">
        <is>
          <t>VAGGERYD</t>
        </is>
      </c>
      <c r="I91" t="n">
        <v>1.2</v>
      </c>
      <c r="J91" t="n">
        <v>0</v>
      </c>
      <c r="K91" t="n">
        <v>0</v>
      </c>
      <c r="L91" t="n">
        <v>0</v>
      </c>
      <c r="M91" t="n">
        <v>0</v>
      </c>
      <c r="N91" t="n">
        <v>0</v>
      </c>
      <c r="O91" t="n">
        <v>0</v>
      </c>
      <c r="P91" t="n">
        <v>0</v>
      </c>
      <c r="Q91" t="n">
        <v>0</v>
      </c>
      <c r="R91" t="n">
        <v>0</v>
      </c>
      <c r="S91" t="n">
        <v>0</v>
      </c>
      <c r="T91" t="n">
        <v>0</v>
      </c>
      <c r="U91" s="2" t="inlineStr"/>
    </row>
    <row r="92" ht="15" customHeight="1">
      <c r="A92" t="inlineStr">
        <is>
          <t>A 33237-2022</t>
        </is>
      </c>
      <c r="B92" t="inlineStr">
        <is>
          <t>avverkningsanmälan</t>
        </is>
      </c>
      <c r="C92" t="inlineStr">
        <is>
          <t>Föryngringsavverkning</t>
        </is>
      </c>
      <c r="D92" s="1" t="n">
        <v>44786</v>
      </c>
      <c r="E92" s="1" t="n">
        <v>46218</v>
      </c>
      <c r="F92" t="inlineStr">
        <is>
          <t>JÖNKÖPINGS LÄN</t>
        </is>
      </c>
      <c r="G92" t="inlineStr">
        <is>
          <t>VAGGERYD</t>
        </is>
      </c>
      <c r="I92" t="n">
        <v>0.7</v>
      </c>
      <c r="J92" t="n">
        <v>0</v>
      </c>
      <c r="K92" t="n">
        <v>0</v>
      </c>
      <c r="L92" t="n">
        <v>0</v>
      </c>
      <c r="M92" t="n">
        <v>0</v>
      </c>
      <c r="N92" t="n">
        <v>0</v>
      </c>
      <c r="O92" t="n">
        <v>0</v>
      </c>
      <c r="P92" t="n">
        <v>0</v>
      </c>
      <c r="Q92" t="n">
        <v>0</v>
      </c>
      <c r="R92" t="n">
        <v>0</v>
      </c>
      <c r="S92" t="n">
        <v>0</v>
      </c>
      <c r="T92" t="n">
        <v>0</v>
      </c>
      <c r="U92" s="2" t="inlineStr"/>
    </row>
    <row r="93" ht="15" customHeight="1">
      <c r="A93" t="inlineStr">
        <is>
          <t>A 62032-2023</t>
        </is>
      </c>
      <c r="B93" t="inlineStr">
        <is>
          <t>avverkningsanmälan</t>
        </is>
      </c>
      <c r="C93" t="inlineStr">
        <is>
          <t>Föryngringsavverkning</t>
        </is>
      </c>
      <c r="D93" s="1" t="n">
        <v>45265</v>
      </c>
      <c r="E93" s="1" t="n">
        <v>46218</v>
      </c>
      <c r="F93" t="inlineStr">
        <is>
          <t>JÖNKÖPINGS LÄN</t>
        </is>
      </c>
      <c r="G93" t="inlineStr">
        <is>
          <t>VAGGERYD</t>
        </is>
      </c>
      <c r="I93" t="n">
        <v>1.7</v>
      </c>
      <c r="J93" t="n">
        <v>0</v>
      </c>
      <c r="K93" t="n">
        <v>0</v>
      </c>
      <c r="L93" t="n">
        <v>0</v>
      </c>
      <c r="M93" t="n">
        <v>0</v>
      </c>
      <c r="N93" t="n">
        <v>0</v>
      </c>
      <c r="O93" t="n">
        <v>0</v>
      </c>
      <c r="P93" t="n">
        <v>0</v>
      </c>
      <c r="Q93" t="n">
        <v>0</v>
      </c>
      <c r="R93" t="n">
        <v>0</v>
      </c>
      <c r="S93" t="n">
        <v>0</v>
      </c>
      <c r="T93" t="n">
        <v>0</v>
      </c>
      <c r="U93" s="2" t="inlineStr"/>
    </row>
    <row r="94" ht="15" customHeight="1">
      <c r="A94" t="inlineStr">
        <is>
          <t>A 64440-2023</t>
        </is>
      </c>
      <c r="B94" t="inlineStr">
        <is>
          <t>avverkningsanmälan</t>
        </is>
      </c>
      <c r="C94" t="inlineStr">
        <is>
          <t>Föryngringsavverkning</t>
        </is>
      </c>
      <c r="D94" s="1" t="n">
        <v>45280</v>
      </c>
      <c r="E94" s="1" t="n">
        <v>46218</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s="2" t="inlineStr"/>
    </row>
    <row r="95" ht="15" customHeight="1">
      <c r="A95" t="inlineStr">
        <is>
          <t>A 11035-2024</t>
        </is>
      </c>
      <c r="B95" t="inlineStr">
        <is>
          <t>avverkningsanmälan</t>
        </is>
      </c>
      <c r="C95" t="inlineStr">
        <is>
          <t>Föryngringsavverkning</t>
        </is>
      </c>
      <c r="D95" s="1" t="n">
        <v>45370</v>
      </c>
      <c r="E95" s="1" t="n">
        <v>46218</v>
      </c>
      <c r="F95" t="inlineStr">
        <is>
          <t>JÖNKÖPINGS LÄN</t>
        </is>
      </c>
      <c r="G95" t="inlineStr">
        <is>
          <t>VAGGERYD</t>
        </is>
      </c>
      <c r="I95" t="n">
        <v>1.8</v>
      </c>
      <c r="J95" t="n">
        <v>0</v>
      </c>
      <c r="K95" t="n">
        <v>0</v>
      </c>
      <c r="L95" t="n">
        <v>0</v>
      </c>
      <c r="M95" t="n">
        <v>0</v>
      </c>
      <c r="N95" t="n">
        <v>0</v>
      </c>
      <c r="O95" t="n">
        <v>0</v>
      </c>
      <c r="P95" t="n">
        <v>0</v>
      </c>
      <c r="Q95" t="n">
        <v>0</v>
      </c>
      <c r="R95" t="n">
        <v>0</v>
      </c>
      <c r="S95" t="n">
        <v>0</v>
      </c>
      <c r="T95" t="n">
        <v>0</v>
      </c>
      <c r="U95" s="2" t="inlineStr"/>
    </row>
    <row r="96" ht="15" customHeight="1">
      <c r="A96" t="inlineStr">
        <is>
          <t>A 6637-2023</t>
        </is>
      </c>
      <c r="B96" t="inlineStr">
        <is>
          <t>avverkningsanmälan</t>
        </is>
      </c>
      <c r="C96" t="inlineStr">
        <is>
          <t>Föryngringsavverkning</t>
        </is>
      </c>
      <c r="D96" s="1" t="n">
        <v>44966</v>
      </c>
      <c r="E96" s="1" t="n">
        <v>46218</v>
      </c>
      <c r="F96" t="inlineStr">
        <is>
          <t>JÖNKÖPINGS LÄN</t>
        </is>
      </c>
      <c r="G96" t="inlineStr">
        <is>
          <t>VAGGERYD</t>
        </is>
      </c>
      <c r="H96" t="inlineStr">
        <is>
          <t>Sveaskog</t>
        </is>
      </c>
      <c r="I96" t="n">
        <v>1.4</v>
      </c>
      <c r="J96" t="n">
        <v>0</v>
      </c>
      <c r="K96" t="n">
        <v>0</v>
      </c>
      <c r="L96" t="n">
        <v>0</v>
      </c>
      <c r="M96" t="n">
        <v>0</v>
      </c>
      <c r="N96" t="n">
        <v>0</v>
      </c>
      <c r="O96" t="n">
        <v>0</v>
      </c>
      <c r="P96" t="n">
        <v>0</v>
      </c>
      <c r="Q96" t="n">
        <v>0</v>
      </c>
      <c r="R96" t="n">
        <v>0</v>
      </c>
      <c r="S96" t="n">
        <v>0</v>
      </c>
      <c r="T96" t="n">
        <v>0</v>
      </c>
      <c r="U96" s="2" t="inlineStr"/>
    </row>
    <row r="97" ht="15" customHeight="1">
      <c r="A97" t="inlineStr">
        <is>
          <t>A 6641-2023</t>
        </is>
      </c>
      <c r="B97" t="inlineStr">
        <is>
          <t>avverkningsanmälan</t>
        </is>
      </c>
      <c r="C97" t="inlineStr">
        <is>
          <t>Föryngringsavverkning</t>
        </is>
      </c>
      <c r="D97" s="1" t="n">
        <v>44966</v>
      </c>
      <c r="E97" s="1" t="n">
        <v>46218</v>
      </c>
      <c r="F97" t="inlineStr">
        <is>
          <t>JÖNKÖPINGS LÄN</t>
        </is>
      </c>
      <c r="G97" t="inlineStr">
        <is>
          <t>VAGGERYD</t>
        </is>
      </c>
      <c r="H97" t="inlineStr">
        <is>
          <t>Sveaskog</t>
        </is>
      </c>
      <c r="I97" t="n">
        <v>4.2</v>
      </c>
      <c r="J97" t="n">
        <v>0</v>
      </c>
      <c r="K97" t="n">
        <v>0</v>
      </c>
      <c r="L97" t="n">
        <v>0</v>
      </c>
      <c r="M97" t="n">
        <v>0</v>
      </c>
      <c r="N97" t="n">
        <v>0</v>
      </c>
      <c r="O97" t="n">
        <v>0</v>
      </c>
      <c r="P97" t="n">
        <v>0</v>
      </c>
      <c r="Q97" t="n">
        <v>0</v>
      </c>
      <c r="R97" t="n">
        <v>0</v>
      </c>
      <c r="S97" t="n">
        <v>0</v>
      </c>
      <c r="T97" t="n">
        <v>0</v>
      </c>
      <c r="U97" s="2" t="inlineStr"/>
    </row>
    <row r="98" ht="15" customHeight="1">
      <c r="A98" t="inlineStr">
        <is>
          <t>A 51264-2022</t>
        </is>
      </c>
      <c r="B98" t="inlineStr">
        <is>
          <t>avverkningsanmälan</t>
        </is>
      </c>
      <c r="C98" t="inlineStr">
        <is>
          <t>Föryngringsavverkning</t>
        </is>
      </c>
      <c r="D98" s="1" t="n">
        <v>44866</v>
      </c>
      <c r="E98" s="1" t="n">
        <v>46218</v>
      </c>
      <c r="F98" t="inlineStr">
        <is>
          <t>JÖNKÖPINGS LÄN</t>
        </is>
      </c>
      <c r="G98" t="inlineStr">
        <is>
          <t>VAGGERYD</t>
        </is>
      </c>
      <c r="I98" t="n">
        <v>0.6</v>
      </c>
      <c r="J98" t="n">
        <v>0</v>
      </c>
      <c r="K98" t="n">
        <v>0</v>
      </c>
      <c r="L98" t="n">
        <v>0</v>
      </c>
      <c r="M98" t="n">
        <v>0</v>
      </c>
      <c r="N98" t="n">
        <v>0</v>
      </c>
      <c r="O98" t="n">
        <v>0</v>
      </c>
      <c r="P98" t="n">
        <v>0</v>
      </c>
      <c r="Q98" t="n">
        <v>0</v>
      </c>
      <c r="R98" t="n">
        <v>0</v>
      </c>
      <c r="S98" t="n">
        <v>0</v>
      </c>
      <c r="T98" t="n">
        <v>0</v>
      </c>
      <c r="U98" s="2" t="inlineStr"/>
    </row>
    <row r="99" ht="15" customHeight="1">
      <c r="A99" t="inlineStr">
        <is>
          <t>A 8690-2024</t>
        </is>
      </c>
      <c r="B99" t="inlineStr">
        <is>
          <t>avverkningsanmälan</t>
        </is>
      </c>
      <c r="C99" t="inlineStr">
        <is>
          <t>Föryngringsavverkning</t>
        </is>
      </c>
      <c r="D99" s="1" t="n">
        <v>45356</v>
      </c>
      <c r="E99" s="1" t="n">
        <v>46218</v>
      </c>
      <c r="F99" t="inlineStr">
        <is>
          <t>JÖNKÖPINGS LÄN</t>
        </is>
      </c>
      <c r="G99" t="inlineStr">
        <is>
          <t>VAGGERYD</t>
        </is>
      </c>
      <c r="I99" t="n">
        <v>1.4</v>
      </c>
      <c r="J99" t="n">
        <v>0</v>
      </c>
      <c r="K99" t="n">
        <v>0</v>
      </c>
      <c r="L99" t="n">
        <v>0</v>
      </c>
      <c r="M99" t="n">
        <v>0</v>
      </c>
      <c r="N99" t="n">
        <v>0</v>
      </c>
      <c r="O99" t="n">
        <v>0</v>
      </c>
      <c r="P99" t="n">
        <v>0</v>
      </c>
      <c r="Q99" t="n">
        <v>0</v>
      </c>
      <c r="R99" t="n">
        <v>0</v>
      </c>
      <c r="S99" t="n">
        <v>0</v>
      </c>
      <c r="T99" t="n">
        <v>0</v>
      </c>
      <c r="U99" s="2" t="inlineStr"/>
    </row>
    <row r="100" ht="15" customHeight="1">
      <c r="A100" t="inlineStr">
        <is>
          <t>A 11791-2023</t>
        </is>
      </c>
      <c r="B100" t="inlineStr">
        <is>
          <t>avverkningsanmälan</t>
        </is>
      </c>
      <c r="C100" t="inlineStr">
        <is>
          <t>Föryngringsavverkning</t>
        </is>
      </c>
      <c r="D100" s="1" t="n">
        <v>44994</v>
      </c>
      <c r="E100" s="1" t="n">
        <v>46218</v>
      </c>
      <c r="F100" t="inlineStr">
        <is>
          <t>JÖNKÖPINGS LÄN</t>
        </is>
      </c>
      <c r="G100" t="inlineStr">
        <is>
          <t>VAGGERYD</t>
        </is>
      </c>
      <c r="H100" t="inlineStr">
        <is>
          <t>Sveaskog</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33613-2025</t>
        </is>
      </c>
      <c r="B101" t="inlineStr">
        <is>
          <t>avverkningsanmälan</t>
        </is>
      </c>
      <c r="C101" t="inlineStr">
        <is>
          <t>Föryngringsavverkning</t>
        </is>
      </c>
      <c r="D101" s="1" t="n">
        <v>45841</v>
      </c>
      <c r="E101" s="1" t="n">
        <v>46218</v>
      </c>
      <c r="F101" t="inlineStr">
        <is>
          <t>JÖNKÖPINGS LÄN</t>
        </is>
      </c>
      <c r="G101" t="inlineStr">
        <is>
          <t>VAGGERYD</t>
        </is>
      </c>
      <c r="I101" t="n">
        <v>3.9</v>
      </c>
      <c r="J101" t="n">
        <v>0</v>
      </c>
      <c r="K101" t="n">
        <v>0</v>
      </c>
      <c r="L101" t="n">
        <v>0</v>
      </c>
      <c r="M101" t="n">
        <v>0</v>
      </c>
      <c r="N101" t="n">
        <v>0</v>
      </c>
      <c r="O101" t="n">
        <v>0</v>
      </c>
      <c r="P101" t="n">
        <v>0</v>
      </c>
      <c r="Q101" t="n">
        <v>0</v>
      </c>
      <c r="R101" t="n">
        <v>0</v>
      </c>
      <c r="S101" t="n">
        <v>0</v>
      </c>
      <c r="T101" t="n">
        <v>0</v>
      </c>
      <c r="U101" s="2" t="inlineStr"/>
    </row>
    <row r="102" ht="15" customHeight="1">
      <c r="A102" t="inlineStr">
        <is>
          <t>A 15140-2023</t>
        </is>
      </c>
      <c r="B102" t="inlineStr">
        <is>
          <t>avverkningsanmälan</t>
        </is>
      </c>
      <c r="C102" t="inlineStr">
        <is>
          <t>Avverkning för annat ändamål</t>
        </is>
      </c>
      <c r="D102" s="1" t="n">
        <v>45015</v>
      </c>
      <c r="E102" s="1" t="n">
        <v>46218</v>
      </c>
      <c r="F102" t="inlineStr">
        <is>
          <t>JÖNKÖPINGS LÄN</t>
        </is>
      </c>
      <c r="G102" t="inlineStr">
        <is>
          <t>VAGGERYD</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20056-2024</t>
        </is>
      </c>
      <c r="B103" t="inlineStr">
        <is>
          <t>avverkningsanmälan</t>
        </is>
      </c>
      <c r="C103" t="inlineStr">
        <is>
          <t>Föryngringsavverkning</t>
        </is>
      </c>
      <c r="D103" s="1" t="n">
        <v>45434</v>
      </c>
      <c r="E103" s="1" t="n">
        <v>46218</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35036-2023</t>
        </is>
      </c>
      <c r="B104" t="inlineStr">
        <is>
          <t>avverkningsanmälan</t>
        </is>
      </c>
      <c r="C104" t="inlineStr">
        <is>
          <t>Föryngringsavverkning</t>
        </is>
      </c>
      <c r="D104" s="1" t="n">
        <v>45145</v>
      </c>
      <c r="E104" s="1" t="n">
        <v>46218</v>
      </c>
      <c r="F104" t="inlineStr">
        <is>
          <t>JÖNKÖPINGS LÄN</t>
        </is>
      </c>
      <c r="G104" t="inlineStr">
        <is>
          <t>VAGGERYD</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39758-2022</t>
        </is>
      </c>
      <c r="B105" t="inlineStr">
        <is>
          <t>avverkningsanmälan</t>
        </is>
      </c>
      <c r="C105" t="inlineStr">
        <is>
          <t>Föryngringsavverkning</t>
        </is>
      </c>
      <c r="D105" s="1" t="n">
        <v>44819</v>
      </c>
      <c r="E105" s="1" t="n">
        <v>46218</v>
      </c>
      <c r="F105" t="inlineStr">
        <is>
          <t>JÖNKÖPINGS LÄN</t>
        </is>
      </c>
      <c r="G105" t="inlineStr">
        <is>
          <t>VAGGERYD</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13860-2024</t>
        </is>
      </c>
      <c r="B106" t="inlineStr">
        <is>
          <t>avverkningsanmälan</t>
        </is>
      </c>
      <c r="C106" t="inlineStr">
        <is>
          <t>Föryngringsavverkning</t>
        </is>
      </c>
      <c r="D106" s="1" t="n">
        <v>45390</v>
      </c>
      <c r="E106" s="1" t="n">
        <v>46218</v>
      </c>
      <c r="F106" t="inlineStr">
        <is>
          <t>JÖNKÖPINGS LÄN</t>
        </is>
      </c>
      <c r="G106" t="inlineStr">
        <is>
          <t>VAGGERYD</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60067-2023</t>
        </is>
      </c>
      <c r="B107" t="inlineStr">
        <is>
          <t>avverkningsanmälan</t>
        </is>
      </c>
      <c r="C107" t="inlineStr">
        <is>
          <t>Föryngringsavverkning</t>
        </is>
      </c>
      <c r="D107" s="1" t="n">
        <v>45258</v>
      </c>
      <c r="E107" s="1" t="n">
        <v>46218</v>
      </c>
      <c r="F107" t="inlineStr">
        <is>
          <t>JÖNKÖPINGS LÄN</t>
        </is>
      </c>
      <c r="G107" t="inlineStr">
        <is>
          <t>VAGGERYD</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39222-2023</t>
        </is>
      </c>
      <c r="B108" t="inlineStr">
        <is>
          <t>avverkningsanmälan</t>
        </is>
      </c>
      <c r="C108" t="inlineStr">
        <is>
          <t>Föryngringsavverkning</t>
        </is>
      </c>
      <c r="D108" s="1" t="n">
        <v>45166</v>
      </c>
      <c r="E108" s="1" t="n">
        <v>46218</v>
      </c>
      <c r="F108" t="inlineStr">
        <is>
          <t>JÖNKÖPINGS LÄN</t>
        </is>
      </c>
      <c r="G108" t="inlineStr">
        <is>
          <t>VAGGERYD</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42830-2023</t>
        </is>
      </c>
      <c r="B109" t="inlineStr">
        <is>
          <t>avverkningsanmälan</t>
        </is>
      </c>
      <c r="C109" t="inlineStr">
        <is>
          <t>Föryngringsavverkning</t>
        </is>
      </c>
      <c r="D109" s="1" t="n">
        <v>45182</v>
      </c>
      <c r="E109" s="1" t="n">
        <v>46218</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61421-2023</t>
        </is>
      </c>
      <c r="B110" t="inlineStr">
        <is>
          <t>avverkningsanmälan</t>
        </is>
      </c>
      <c r="C110" t="inlineStr">
        <is>
          <t>Föryngringsavverkning</t>
        </is>
      </c>
      <c r="D110" s="1" t="n">
        <v>45264</v>
      </c>
      <c r="E110" s="1" t="n">
        <v>46218</v>
      </c>
      <c r="F110" t="inlineStr">
        <is>
          <t>JÖNKÖPINGS LÄN</t>
        </is>
      </c>
      <c r="G110" t="inlineStr">
        <is>
          <t>VAGGERYD</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16625-2023</t>
        </is>
      </c>
      <c r="B111" t="inlineStr">
        <is>
          <t>avverkningsanmälan</t>
        </is>
      </c>
      <c r="C111" t="inlineStr">
        <is>
          <t>Föryngringsavverkning</t>
        </is>
      </c>
      <c r="D111" s="1" t="n">
        <v>45030</v>
      </c>
      <c r="E111" s="1" t="n">
        <v>46218</v>
      </c>
      <c r="F111" t="inlineStr">
        <is>
          <t>JÖNKÖPINGS LÄN</t>
        </is>
      </c>
      <c r="G111" t="inlineStr">
        <is>
          <t>VAGGERYD</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52454-2024</t>
        </is>
      </c>
      <c r="B112" t="inlineStr">
        <is>
          <t>avverkningsanmälan</t>
        </is>
      </c>
      <c r="C112" t="inlineStr">
        <is>
          <t>Föryngringsavverkning</t>
        </is>
      </c>
      <c r="D112" s="1" t="n">
        <v>45609</v>
      </c>
      <c r="E112" s="1" t="n">
        <v>46218</v>
      </c>
      <c r="F112" t="inlineStr">
        <is>
          <t>JÖNKÖPINGS LÄN</t>
        </is>
      </c>
      <c r="G112" t="inlineStr">
        <is>
          <t>VAGGERYD</t>
        </is>
      </c>
      <c r="H112" t="inlineStr">
        <is>
          <t>Sveaskog</t>
        </is>
      </c>
      <c r="I112" t="n">
        <v>2.4</v>
      </c>
      <c r="J112" t="n">
        <v>0</v>
      </c>
      <c r="K112" t="n">
        <v>0</v>
      </c>
      <c r="L112" t="n">
        <v>0</v>
      </c>
      <c r="M112" t="n">
        <v>0</v>
      </c>
      <c r="N112" t="n">
        <v>0</v>
      </c>
      <c r="O112" t="n">
        <v>0</v>
      </c>
      <c r="P112" t="n">
        <v>0</v>
      </c>
      <c r="Q112" t="n">
        <v>0</v>
      </c>
      <c r="R112" t="n">
        <v>0</v>
      </c>
      <c r="S112" t="n">
        <v>0</v>
      </c>
      <c r="T112" t="n">
        <v>0</v>
      </c>
      <c r="U112" s="2" t="inlineStr"/>
    </row>
    <row r="113" ht="15" customHeight="1">
      <c r="A113" t="inlineStr">
        <is>
          <t>A 10638-2023</t>
        </is>
      </c>
      <c r="B113" t="inlineStr">
        <is>
          <t>avverkningsanmälan</t>
        </is>
      </c>
      <c r="C113" t="inlineStr">
        <is>
          <t>Föryngringsavverkning</t>
        </is>
      </c>
      <c r="D113" s="1" t="n">
        <v>44988</v>
      </c>
      <c r="E113" s="1" t="n">
        <v>46218</v>
      </c>
      <c r="F113" t="inlineStr">
        <is>
          <t>JÖNKÖPINGS LÄN</t>
        </is>
      </c>
      <c r="G113" t="inlineStr">
        <is>
          <t>VAGGERYD</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11597-2022</t>
        </is>
      </c>
      <c r="B114" t="inlineStr">
        <is>
          <t>avverkningsanmälan</t>
        </is>
      </c>
      <c r="C114" t="inlineStr">
        <is>
          <t>Föryngringsavverkning</t>
        </is>
      </c>
      <c r="D114" s="1" t="n">
        <v>44631</v>
      </c>
      <c r="E114" s="1" t="n">
        <v>46218</v>
      </c>
      <c r="F114" t="inlineStr">
        <is>
          <t>JÖNKÖPINGS LÄN</t>
        </is>
      </c>
      <c r="G114" t="inlineStr">
        <is>
          <t>VAGGERYD</t>
        </is>
      </c>
      <c r="H114" t="inlineStr">
        <is>
          <t>Sveaskog</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21490-2022</t>
        </is>
      </c>
      <c r="B115" t="inlineStr">
        <is>
          <t>avverkningsanmälan</t>
        </is>
      </c>
      <c r="C115" t="inlineStr">
        <is>
          <t>Föryngringsavverkning</t>
        </is>
      </c>
      <c r="D115" s="1" t="n">
        <v>44706</v>
      </c>
      <c r="E115" s="1" t="n">
        <v>46218</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40346-2023</t>
        </is>
      </c>
      <c r="B116" t="inlineStr">
        <is>
          <t>avverkningsanmälan</t>
        </is>
      </c>
      <c r="C116" t="inlineStr">
        <is>
          <t>Föryngringsavverkning</t>
        </is>
      </c>
      <c r="D116" s="1" t="n">
        <v>45169</v>
      </c>
      <c r="E116" s="1" t="n">
        <v>46218</v>
      </c>
      <c r="F116" t="inlineStr">
        <is>
          <t>JÖNKÖPINGS LÄN</t>
        </is>
      </c>
      <c r="G116" t="inlineStr">
        <is>
          <t>VAGGERYD</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47192-2024</t>
        </is>
      </c>
      <c r="B117" t="inlineStr">
        <is>
          <t>avverkningsanmälan</t>
        </is>
      </c>
      <c r="C117" t="inlineStr">
        <is>
          <t>Föryngringsavverkning</t>
        </is>
      </c>
      <c r="D117" s="1" t="n">
        <v>45586</v>
      </c>
      <c r="E117" s="1" t="n">
        <v>46218</v>
      </c>
      <c r="F117" t="inlineStr">
        <is>
          <t>JÖNKÖPINGS LÄN</t>
        </is>
      </c>
      <c r="G117" t="inlineStr">
        <is>
          <t>VAGGERYD</t>
        </is>
      </c>
      <c r="H117" t="inlineStr">
        <is>
          <t>Sveaskog</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44808-2023</t>
        </is>
      </c>
      <c r="B118" t="inlineStr">
        <is>
          <t>avverkningsanmälan</t>
        </is>
      </c>
      <c r="C118" t="inlineStr">
        <is>
          <t>Avverkning för annat ändamål</t>
        </is>
      </c>
      <c r="D118" s="1" t="n">
        <v>45190</v>
      </c>
      <c r="E118" s="1" t="n">
        <v>46218</v>
      </c>
      <c r="F118" t="inlineStr">
        <is>
          <t>JÖNKÖPINGS LÄN</t>
        </is>
      </c>
      <c r="G118" t="inlineStr">
        <is>
          <t>VAGGERYD</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58797-2023</t>
        </is>
      </c>
      <c r="B119" t="inlineStr">
        <is>
          <t>avverkningsanmälan</t>
        </is>
      </c>
      <c r="C119" t="inlineStr">
        <is>
          <t>Föryngringsavverkning</t>
        </is>
      </c>
      <c r="D119" s="1" t="n">
        <v>45247</v>
      </c>
      <c r="E119" s="1" t="n">
        <v>46218</v>
      </c>
      <c r="F119" t="inlineStr">
        <is>
          <t>JÖNKÖPINGS LÄN</t>
        </is>
      </c>
      <c r="G119" t="inlineStr">
        <is>
          <t>VAGGERYD</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61908-2024</t>
        </is>
      </c>
      <c r="B120" t="inlineStr">
        <is>
          <t>avverkningsanmälan</t>
        </is>
      </c>
      <c r="C120" t="inlineStr">
        <is>
          <t>Föryngringsavverkning</t>
        </is>
      </c>
      <c r="D120" s="1" t="n">
        <v>45653</v>
      </c>
      <c r="E120" s="1" t="n">
        <v>46218</v>
      </c>
      <c r="F120" t="inlineStr">
        <is>
          <t>JÖNKÖPINGS LÄN</t>
        </is>
      </c>
      <c r="G120" t="inlineStr">
        <is>
          <t>VAGGERYD</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10586-2023</t>
        </is>
      </c>
      <c r="B121" t="inlineStr">
        <is>
          <t>avverkningsanmälan</t>
        </is>
      </c>
      <c r="C121" t="inlineStr">
        <is>
          <t>Föryngringsavverkning</t>
        </is>
      </c>
      <c r="D121" s="1" t="n">
        <v>44988</v>
      </c>
      <c r="E121" s="1" t="n">
        <v>46218</v>
      </c>
      <c r="F121" t="inlineStr">
        <is>
          <t>JÖNKÖPINGS LÄN</t>
        </is>
      </c>
      <c r="G121" t="inlineStr">
        <is>
          <t>VAGGERYD</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11585-2023</t>
        </is>
      </c>
      <c r="B122" t="inlineStr">
        <is>
          <t>avverkningsanmälan</t>
        </is>
      </c>
      <c r="C122" t="inlineStr">
        <is>
          <t>Föryngringsavverkning</t>
        </is>
      </c>
      <c r="D122" s="1" t="n">
        <v>44994</v>
      </c>
      <c r="E122" s="1" t="n">
        <v>46218</v>
      </c>
      <c r="F122" t="inlineStr">
        <is>
          <t>JÖNKÖPINGS LÄN</t>
        </is>
      </c>
      <c r="G122" t="inlineStr">
        <is>
          <t>VAGGERYD</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25925-2025</t>
        </is>
      </c>
      <c r="B123" t="inlineStr">
        <is>
          <t>avverkningsanmälan</t>
        </is>
      </c>
      <c r="C123" t="inlineStr">
        <is>
          <t>Föryngringsavverkning</t>
        </is>
      </c>
      <c r="D123" s="1" t="n">
        <v>45804</v>
      </c>
      <c r="E123" s="1" t="n">
        <v>46218</v>
      </c>
      <c r="F123" t="inlineStr">
        <is>
          <t>JÖNKÖPINGS LÄN</t>
        </is>
      </c>
      <c r="G123" t="inlineStr">
        <is>
          <t>VAGGERYD</t>
        </is>
      </c>
      <c r="H123" t="inlineStr">
        <is>
          <t>Kyrkan</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22767-2024</t>
        </is>
      </c>
      <c r="B124" t="inlineStr">
        <is>
          <t>avverkningsanmälan</t>
        </is>
      </c>
      <c r="C124" t="inlineStr">
        <is>
          <t>Föryngringsavverkning</t>
        </is>
      </c>
      <c r="D124" s="1" t="n">
        <v>45448</v>
      </c>
      <c r="E124" s="1" t="n">
        <v>46218</v>
      </c>
      <c r="F124" t="inlineStr">
        <is>
          <t>JÖNKÖPINGS LÄN</t>
        </is>
      </c>
      <c r="G124" t="inlineStr">
        <is>
          <t>VAGGERYD</t>
        </is>
      </c>
      <c r="H124" t="inlineStr">
        <is>
          <t>Sveaskog</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56370-2023</t>
        </is>
      </c>
      <c r="B125" t="inlineStr">
        <is>
          <t>avverkningsanmälan</t>
        </is>
      </c>
      <c r="C125" t="inlineStr">
        <is>
          <t>Föryngringsavverkning</t>
        </is>
      </c>
      <c r="D125" s="1" t="n">
        <v>45243</v>
      </c>
      <c r="E125" s="1" t="n">
        <v>46218</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58111-2022</t>
        </is>
      </c>
      <c r="B126" t="inlineStr">
        <is>
          <t>avverkningsanmälan</t>
        </is>
      </c>
      <c r="C126" t="inlineStr">
        <is>
          <t>Föryngringsavverkning</t>
        </is>
      </c>
      <c r="D126" s="1" t="n">
        <v>44900</v>
      </c>
      <c r="E126" s="1" t="n">
        <v>46218</v>
      </c>
      <c r="F126" t="inlineStr">
        <is>
          <t>JÖNKÖPINGS LÄN</t>
        </is>
      </c>
      <c r="G126" t="inlineStr">
        <is>
          <t>VAGGERYD</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49510-2023</t>
        </is>
      </c>
      <c r="B127" t="inlineStr">
        <is>
          <t>avverkningsanmälan</t>
        </is>
      </c>
      <c r="C127" t="inlineStr">
        <is>
          <t>Avverkning för att bevara och utveckla /försöksver</t>
        </is>
      </c>
      <c r="D127" s="1" t="n">
        <v>45211</v>
      </c>
      <c r="E127" s="1" t="n">
        <v>46218</v>
      </c>
      <c r="F127" t="inlineStr">
        <is>
          <t>JÖNKÖPINGS LÄN</t>
        </is>
      </c>
      <c r="G127" t="inlineStr">
        <is>
          <t>VAGGERYD</t>
        </is>
      </c>
      <c r="H127" t="inlineStr">
        <is>
          <t>Sveaskog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53698-2022</t>
        </is>
      </c>
      <c r="B128" t="inlineStr">
        <is>
          <t>avverkningsanmälan</t>
        </is>
      </c>
      <c r="C128" t="inlineStr">
        <is>
          <t>Föryngringsavverkning</t>
        </is>
      </c>
      <c r="D128" s="1" t="n">
        <v>44880</v>
      </c>
      <c r="E128" s="1" t="n">
        <v>46218</v>
      </c>
      <c r="F128" t="inlineStr">
        <is>
          <t>JÖNKÖPINGS LÄN</t>
        </is>
      </c>
      <c r="G128" t="inlineStr">
        <is>
          <t>VAGGERYD</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46890-2024</t>
        </is>
      </c>
      <c r="B129" t="inlineStr">
        <is>
          <t>avverkningsanmälan</t>
        </is>
      </c>
      <c r="C129" t="inlineStr">
        <is>
          <t>Föryngringsavverkning</t>
        </is>
      </c>
      <c r="D129" s="1" t="n">
        <v>45583</v>
      </c>
      <c r="E129" s="1" t="n">
        <v>46218</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24523-2024</t>
        </is>
      </c>
      <c r="B130" t="inlineStr">
        <is>
          <t>avverkningsanmälan</t>
        </is>
      </c>
      <c r="C130" t="inlineStr">
        <is>
          <t>Föryngringsavverkning</t>
        </is>
      </c>
      <c r="D130" s="1" t="n">
        <v>45460</v>
      </c>
      <c r="E130" s="1" t="n">
        <v>46218</v>
      </c>
      <c r="F130" t="inlineStr">
        <is>
          <t>JÖNKÖPINGS LÄN</t>
        </is>
      </c>
      <c r="G130" t="inlineStr">
        <is>
          <t>VAGGERYD</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41624-2025</t>
        </is>
      </c>
      <c r="B131" t="inlineStr">
        <is>
          <t>avverkningsanmälan</t>
        </is>
      </c>
      <c r="C131" t="inlineStr">
        <is>
          <t>Föryngringsavverkning</t>
        </is>
      </c>
      <c r="D131" s="1" t="n">
        <v>45901</v>
      </c>
      <c r="E131" s="1" t="n">
        <v>46218</v>
      </c>
      <c r="F131" t="inlineStr">
        <is>
          <t>JÖNKÖPINGS LÄN</t>
        </is>
      </c>
      <c r="G131" t="inlineStr">
        <is>
          <t>VAGGERYD</t>
        </is>
      </c>
      <c r="I131" t="n">
        <v>3.7</v>
      </c>
      <c r="J131" t="n">
        <v>0</v>
      </c>
      <c r="K131" t="n">
        <v>0</v>
      </c>
      <c r="L131" t="n">
        <v>0</v>
      </c>
      <c r="M131" t="n">
        <v>0</v>
      </c>
      <c r="N131" t="n">
        <v>0</v>
      </c>
      <c r="O131" t="n">
        <v>0</v>
      </c>
      <c r="P131" t="n">
        <v>0</v>
      </c>
      <c r="Q131" t="n">
        <v>0</v>
      </c>
      <c r="R131" t="n">
        <v>0</v>
      </c>
      <c r="S131" t="n">
        <v>0</v>
      </c>
      <c r="T131" t="n">
        <v>0</v>
      </c>
      <c r="U131" s="2" t="inlineStr"/>
    </row>
    <row r="132" ht="15" customHeight="1">
      <c r="A132" t="inlineStr">
        <is>
          <t>A 57192-2024</t>
        </is>
      </c>
      <c r="B132" t="inlineStr">
        <is>
          <t>avverkningsanmälan</t>
        </is>
      </c>
      <c r="C132" t="inlineStr">
        <is>
          <t>Avverkning för annat ändamål</t>
        </is>
      </c>
      <c r="D132" s="1" t="n">
        <v>45629</v>
      </c>
      <c r="E132" s="1" t="n">
        <v>46218</v>
      </c>
      <c r="F132" t="inlineStr">
        <is>
          <t>JÖNKÖPINGS LÄN</t>
        </is>
      </c>
      <c r="G132" t="inlineStr">
        <is>
          <t>VAGGERYD</t>
        </is>
      </c>
      <c r="I132" t="n">
        <v>20.8</v>
      </c>
      <c r="J132" t="n">
        <v>0</v>
      </c>
      <c r="K132" t="n">
        <v>0</v>
      </c>
      <c r="L132" t="n">
        <v>0</v>
      </c>
      <c r="M132" t="n">
        <v>0</v>
      </c>
      <c r="N132" t="n">
        <v>0</v>
      </c>
      <c r="O132" t="n">
        <v>0</v>
      </c>
      <c r="P132" t="n">
        <v>0</v>
      </c>
      <c r="Q132" t="n">
        <v>0</v>
      </c>
      <c r="R132" t="n">
        <v>0</v>
      </c>
      <c r="S132" t="n">
        <v>0</v>
      </c>
      <c r="T132" t="n">
        <v>0</v>
      </c>
      <c r="U132" s="2" t="inlineStr"/>
    </row>
    <row r="133" ht="15" customHeight="1">
      <c r="A133" t="inlineStr">
        <is>
          <t>A 7555-2023</t>
        </is>
      </c>
      <c r="B133" t="inlineStr">
        <is>
          <t>avverkningsanmälan</t>
        </is>
      </c>
      <c r="C133" t="inlineStr">
        <is>
          <t>Föryngringsavverkning</t>
        </is>
      </c>
      <c r="D133" s="1" t="n">
        <v>44972</v>
      </c>
      <c r="E133" s="1" t="n">
        <v>46218</v>
      </c>
      <c r="F133" t="inlineStr">
        <is>
          <t>JÖNKÖPINGS LÄN</t>
        </is>
      </c>
      <c r="G133" t="inlineStr">
        <is>
          <t>VAGGERYD</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59746-2022</t>
        </is>
      </c>
      <c r="B134" t="inlineStr">
        <is>
          <t>avverkningsanmälan</t>
        </is>
      </c>
      <c r="C134" t="inlineStr">
        <is>
          <t>Föryngringsavverkning</t>
        </is>
      </c>
      <c r="D134" s="1" t="n">
        <v>44900</v>
      </c>
      <c r="E134" s="1" t="n">
        <v>46218</v>
      </c>
      <c r="F134" t="inlineStr">
        <is>
          <t>JÖNKÖPINGS LÄN</t>
        </is>
      </c>
      <c r="G134" t="inlineStr">
        <is>
          <t>VAGGERYD</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28896-2023</t>
        </is>
      </c>
      <c r="B135" t="inlineStr">
        <is>
          <t>avverkningsanmälan</t>
        </is>
      </c>
      <c r="C135" t="inlineStr">
        <is>
          <t>Avverkning för att bevara och utveckla /försöksver</t>
        </is>
      </c>
      <c r="D135" s="1" t="n">
        <v>45104</v>
      </c>
      <c r="E135" s="1" t="n">
        <v>46218</v>
      </c>
      <c r="F135" t="inlineStr">
        <is>
          <t>JÖNKÖPINGS LÄN</t>
        </is>
      </c>
      <c r="G135" t="inlineStr">
        <is>
          <t>VAGGERYD</t>
        </is>
      </c>
      <c r="H135" t="inlineStr">
        <is>
          <t>Sveaskog</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19787-2023</t>
        </is>
      </c>
      <c r="B136" t="inlineStr">
        <is>
          <t>avverkningsanmälan</t>
        </is>
      </c>
      <c r="C136" t="inlineStr">
        <is>
          <t>Föryngringsavverkning</t>
        </is>
      </c>
      <c r="D136" s="1" t="n">
        <v>45051</v>
      </c>
      <c r="E136" s="1" t="n">
        <v>46218</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19792-2023</t>
        </is>
      </c>
      <c r="B137" t="inlineStr">
        <is>
          <t>avverkningsanmälan</t>
        </is>
      </c>
      <c r="C137" t="inlineStr">
        <is>
          <t>Föryngringsavverkning</t>
        </is>
      </c>
      <c r="D137" s="1" t="n">
        <v>45051</v>
      </c>
      <c r="E137" s="1" t="n">
        <v>46218</v>
      </c>
      <c r="F137" t="inlineStr">
        <is>
          <t>JÖNKÖPINGS LÄN</t>
        </is>
      </c>
      <c r="G137" t="inlineStr">
        <is>
          <t>VAGGERYD</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14396-2023</t>
        </is>
      </c>
      <c r="B138" t="inlineStr">
        <is>
          <t>avverkningsanmälan</t>
        </is>
      </c>
      <c r="C138" t="inlineStr">
        <is>
          <t>Föryngringsavverkning</t>
        </is>
      </c>
      <c r="D138" s="1" t="n">
        <v>45012</v>
      </c>
      <c r="E138" s="1" t="n">
        <v>46218</v>
      </c>
      <c r="F138" t="inlineStr">
        <is>
          <t>JÖNKÖPINGS LÄN</t>
        </is>
      </c>
      <c r="G138" t="inlineStr">
        <is>
          <t>VAGGERYD</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58593-2024</t>
        </is>
      </c>
      <c r="B139" t="inlineStr">
        <is>
          <t>avverkningsanmälan</t>
        </is>
      </c>
      <c r="C139" t="inlineStr">
        <is>
          <t>Föryngringsavverkning</t>
        </is>
      </c>
      <c r="D139" s="1" t="n">
        <v>45635</v>
      </c>
      <c r="E139" s="1" t="n">
        <v>46218</v>
      </c>
      <c r="F139" t="inlineStr">
        <is>
          <t>JÖNKÖPINGS LÄN</t>
        </is>
      </c>
      <c r="G139" t="inlineStr">
        <is>
          <t>VAGGERYD</t>
        </is>
      </c>
      <c r="H139" t="inlineStr">
        <is>
          <t>Sveaskog</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6145-2023</t>
        </is>
      </c>
      <c r="B140" t="inlineStr">
        <is>
          <t>avverkningsanmälan</t>
        </is>
      </c>
      <c r="C140" t="inlineStr">
        <is>
          <t>Föryngringsavverkning</t>
        </is>
      </c>
      <c r="D140" s="1" t="n">
        <v>44964</v>
      </c>
      <c r="E140" s="1" t="n">
        <v>46218</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6104-2025</t>
        </is>
      </c>
      <c r="B141" t="inlineStr">
        <is>
          <t>avverkningsanmälan</t>
        </is>
      </c>
      <c r="C141" t="inlineStr">
        <is>
          <t>Föryngringsavverkning</t>
        </is>
      </c>
      <c r="D141" s="1" t="n">
        <v>45697</v>
      </c>
      <c r="E141" s="1" t="n">
        <v>46218</v>
      </c>
      <c r="F141" t="inlineStr">
        <is>
          <t>JÖNKÖPINGS LÄN</t>
        </is>
      </c>
      <c r="G141" t="inlineStr">
        <is>
          <t>VAGGERYD</t>
        </is>
      </c>
      <c r="I141" t="n">
        <v>5.6</v>
      </c>
      <c r="J141" t="n">
        <v>0</v>
      </c>
      <c r="K141" t="n">
        <v>0</v>
      </c>
      <c r="L141" t="n">
        <v>0</v>
      </c>
      <c r="M141" t="n">
        <v>0</v>
      </c>
      <c r="N141" t="n">
        <v>0</v>
      </c>
      <c r="O141" t="n">
        <v>0</v>
      </c>
      <c r="P141" t="n">
        <v>0</v>
      </c>
      <c r="Q141" t="n">
        <v>0</v>
      </c>
      <c r="R141" t="n">
        <v>0</v>
      </c>
      <c r="S141" t="n">
        <v>0</v>
      </c>
      <c r="T141" t="n">
        <v>0</v>
      </c>
      <c r="U141" s="2" t="inlineStr"/>
    </row>
    <row r="142" ht="15" customHeight="1">
      <c r="A142" t="inlineStr">
        <is>
          <t>A 58612-2024</t>
        </is>
      </c>
      <c r="B142" t="inlineStr">
        <is>
          <t>avverkningsanmälan</t>
        </is>
      </c>
      <c r="C142" t="inlineStr">
        <is>
          <t>Föryngringsavverkning</t>
        </is>
      </c>
      <c r="D142" s="1" t="n">
        <v>45635</v>
      </c>
      <c r="E142" s="1" t="n">
        <v>46218</v>
      </c>
      <c r="F142" t="inlineStr">
        <is>
          <t>JÖNKÖPINGS LÄN</t>
        </is>
      </c>
      <c r="G142" t="inlineStr">
        <is>
          <t>VAGGERYD</t>
        </is>
      </c>
      <c r="H142" t="inlineStr">
        <is>
          <t>Sveaskog</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58622-2024</t>
        </is>
      </c>
      <c r="B143" t="inlineStr">
        <is>
          <t>avverkningsanmälan</t>
        </is>
      </c>
      <c r="C143" t="inlineStr">
        <is>
          <t>Föryngringsavverkning</t>
        </is>
      </c>
      <c r="D143" s="1" t="n">
        <v>45635</v>
      </c>
      <c r="E143" s="1" t="n">
        <v>46218</v>
      </c>
      <c r="F143" t="inlineStr">
        <is>
          <t>JÖNKÖPINGS LÄN</t>
        </is>
      </c>
      <c r="G143" t="inlineStr">
        <is>
          <t>VAGGERYD</t>
        </is>
      </c>
      <c r="H143" t="inlineStr">
        <is>
          <t>Sveaskog</t>
        </is>
      </c>
      <c r="I143" t="n">
        <v>3</v>
      </c>
      <c r="J143" t="n">
        <v>0</v>
      </c>
      <c r="K143" t="n">
        <v>0</v>
      </c>
      <c r="L143" t="n">
        <v>0</v>
      </c>
      <c r="M143" t="n">
        <v>0</v>
      </c>
      <c r="N143" t="n">
        <v>0</v>
      </c>
      <c r="O143" t="n">
        <v>0</v>
      </c>
      <c r="P143" t="n">
        <v>0</v>
      </c>
      <c r="Q143" t="n">
        <v>0</v>
      </c>
      <c r="R143" t="n">
        <v>0</v>
      </c>
      <c r="S143" t="n">
        <v>0</v>
      </c>
      <c r="T143" t="n">
        <v>0</v>
      </c>
      <c r="U143" s="2" t="inlineStr"/>
    </row>
    <row r="144" ht="15" customHeight="1">
      <c r="A144" t="inlineStr">
        <is>
          <t>A 18519-2025</t>
        </is>
      </c>
      <c r="B144" t="inlineStr">
        <is>
          <t>avverkningsanmälan</t>
        </is>
      </c>
      <c r="C144" t="inlineStr">
        <is>
          <t>Föryngringsavverkning</t>
        </is>
      </c>
      <c r="D144" s="1" t="n">
        <v>45763</v>
      </c>
      <c r="E144" s="1" t="n">
        <v>46218</v>
      </c>
      <c r="F144" t="inlineStr">
        <is>
          <t>JÖNKÖPINGS LÄN</t>
        </is>
      </c>
      <c r="G144" t="inlineStr">
        <is>
          <t>VAGGERYD</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28466-2024</t>
        </is>
      </c>
      <c r="B145" t="inlineStr">
        <is>
          <t>avverkningsanmälan</t>
        </is>
      </c>
      <c r="C145" t="inlineStr">
        <is>
          <t>Föryngringsavverkning</t>
        </is>
      </c>
      <c r="D145" s="1" t="n">
        <v>45477</v>
      </c>
      <c r="E145" s="1" t="n">
        <v>46218</v>
      </c>
      <c r="F145" t="inlineStr">
        <is>
          <t>JÖNKÖPINGS LÄN</t>
        </is>
      </c>
      <c r="G145" t="inlineStr">
        <is>
          <t>VAGGERYD</t>
        </is>
      </c>
      <c r="H145" t="inlineStr">
        <is>
          <t>Sveaskog</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28470-2024</t>
        </is>
      </c>
      <c r="B146" t="inlineStr">
        <is>
          <t>avverkningsanmälan</t>
        </is>
      </c>
      <c r="C146" t="inlineStr">
        <is>
          <t>Föryngringsavverkning</t>
        </is>
      </c>
      <c r="D146" s="1" t="n">
        <v>45477</v>
      </c>
      <c r="E146" s="1" t="n">
        <v>46218</v>
      </c>
      <c r="F146" t="inlineStr">
        <is>
          <t>JÖNKÖPINGS LÄN</t>
        </is>
      </c>
      <c r="G146" t="inlineStr">
        <is>
          <t>VAGGERYD</t>
        </is>
      </c>
      <c r="H146" t="inlineStr">
        <is>
          <t>Sveaskog</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43050-2024</t>
        </is>
      </c>
      <c r="B147" t="inlineStr">
        <is>
          <t>avverkningsanmälan</t>
        </is>
      </c>
      <c r="C147" t="inlineStr">
        <is>
          <t>Föryngringsavverkning</t>
        </is>
      </c>
      <c r="D147" s="1" t="n">
        <v>45567</v>
      </c>
      <c r="E147" s="1" t="n">
        <v>46218</v>
      </c>
      <c r="F147" t="inlineStr">
        <is>
          <t>JÖNKÖPINGS LÄN</t>
        </is>
      </c>
      <c r="G147" t="inlineStr">
        <is>
          <t>VAGGERYD</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43261-2025</t>
        </is>
      </c>
      <c r="B148" t="inlineStr">
        <is>
          <t>avverkningsanmälan</t>
        </is>
      </c>
      <c r="C148" t="inlineStr">
        <is>
          <t>Föryngringsavverkning</t>
        </is>
      </c>
      <c r="D148" s="1" t="n">
        <v>45910</v>
      </c>
      <c r="E148" s="1" t="n">
        <v>46218</v>
      </c>
      <c r="F148" t="inlineStr">
        <is>
          <t>JÖNKÖPINGS LÄN</t>
        </is>
      </c>
      <c r="G148" t="inlineStr">
        <is>
          <t>VAGGERYD</t>
        </is>
      </c>
      <c r="I148" t="n">
        <v>6.5</v>
      </c>
      <c r="J148" t="n">
        <v>0</v>
      </c>
      <c r="K148" t="n">
        <v>0</v>
      </c>
      <c r="L148" t="n">
        <v>0</v>
      </c>
      <c r="M148" t="n">
        <v>0</v>
      </c>
      <c r="N148" t="n">
        <v>0</v>
      </c>
      <c r="O148" t="n">
        <v>0</v>
      </c>
      <c r="P148" t="n">
        <v>0</v>
      </c>
      <c r="Q148" t="n">
        <v>0</v>
      </c>
      <c r="R148" t="n">
        <v>0</v>
      </c>
      <c r="S148" t="n">
        <v>0</v>
      </c>
      <c r="T148" t="n">
        <v>0</v>
      </c>
      <c r="U148" s="2" t="inlineStr"/>
    </row>
    <row r="149" ht="15" customHeight="1">
      <c r="A149" t="inlineStr">
        <is>
          <t>A 47005-2023</t>
        </is>
      </c>
      <c r="B149" t="inlineStr">
        <is>
          <t>avverkningsanmälan</t>
        </is>
      </c>
      <c r="C149" t="inlineStr">
        <is>
          <t>Föryngringsavverkning</t>
        </is>
      </c>
      <c r="D149" s="1" t="n">
        <v>45195</v>
      </c>
      <c r="E149" s="1" t="n">
        <v>46218</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20252-2025</t>
        </is>
      </c>
      <c r="B150" t="inlineStr">
        <is>
          <t>avverkningsanmälan</t>
        </is>
      </c>
      <c r="C150" t="inlineStr">
        <is>
          <t>Avverkning för annat ändamål</t>
        </is>
      </c>
      <c r="D150" s="1" t="n">
        <v>45772</v>
      </c>
      <c r="E150" s="1" t="n">
        <v>46218</v>
      </c>
      <c r="F150" t="inlineStr">
        <is>
          <t>JÖNKÖPINGS LÄN</t>
        </is>
      </c>
      <c r="G150" t="inlineStr">
        <is>
          <t>VAGGERYD</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4180-2023</t>
        </is>
      </c>
      <c r="B151" t="inlineStr">
        <is>
          <t>avverkningsanmälan</t>
        </is>
      </c>
      <c r="C151" t="inlineStr">
        <is>
          <t>Föryngringsavverkning</t>
        </is>
      </c>
      <c r="D151" s="1" t="n">
        <v>44953</v>
      </c>
      <c r="E151" s="1" t="n">
        <v>46218</v>
      </c>
      <c r="F151" t="inlineStr">
        <is>
          <t>JÖNKÖPINGS LÄN</t>
        </is>
      </c>
      <c r="G151" t="inlineStr">
        <is>
          <t>VAGGERYD</t>
        </is>
      </c>
      <c r="H151" t="inlineStr">
        <is>
          <t>Sveaskog</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4193-2023</t>
        </is>
      </c>
      <c r="B152" t="inlineStr">
        <is>
          <t>avverkningsanmälan</t>
        </is>
      </c>
      <c r="C152" t="inlineStr">
        <is>
          <t>Föryngringsavverkning</t>
        </is>
      </c>
      <c r="D152" s="1" t="n">
        <v>44953</v>
      </c>
      <c r="E152" s="1" t="n">
        <v>46218</v>
      </c>
      <c r="F152" t="inlineStr">
        <is>
          <t>JÖNKÖPINGS LÄN</t>
        </is>
      </c>
      <c r="G152" t="inlineStr">
        <is>
          <t>VAGGERYD</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1162-2023</t>
        </is>
      </c>
      <c r="B153" t="inlineStr">
        <is>
          <t>avverkningsanmälan</t>
        </is>
      </c>
      <c r="C153" t="inlineStr">
        <is>
          <t>Föryngringsavverkning</t>
        </is>
      </c>
      <c r="D153" s="1" t="n">
        <v>44930</v>
      </c>
      <c r="E153" s="1" t="n">
        <v>46218</v>
      </c>
      <c r="F153" t="inlineStr">
        <is>
          <t>JÖNKÖPINGS LÄN</t>
        </is>
      </c>
      <c r="G153" t="inlineStr">
        <is>
          <t>VAGGERYD</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16913-2024</t>
        </is>
      </c>
      <c r="B154" t="inlineStr">
        <is>
          <t>avverkningsanmälan</t>
        </is>
      </c>
      <c r="C154" t="inlineStr">
        <is>
          <t>Föryngringsavverkning</t>
        </is>
      </c>
      <c r="D154" s="1" t="n">
        <v>45411</v>
      </c>
      <c r="E154" s="1" t="n">
        <v>46218</v>
      </c>
      <c r="F154" t="inlineStr">
        <is>
          <t>JÖNKÖPINGS LÄN</t>
        </is>
      </c>
      <c r="G154" t="inlineStr">
        <is>
          <t>VAGGERYD</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58928-2023</t>
        </is>
      </c>
      <c r="B155" t="inlineStr">
        <is>
          <t>avverkningsanmälan</t>
        </is>
      </c>
      <c r="C155" t="inlineStr">
        <is>
          <t>Föryngringsavverkning</t>
        </is>
      </c>
      <c r="D155" s="1" t="n">
        <v>45252</v>
      </c>
      <c r="E155" s="1" t="n">
        <v>46218</v>
      </c>
      <c r="F155" t="inlineStr">
        <is>
          <t>JÖNKÖPINGS LÄN</t>
        </is>
      </c>
      <c r="G155" t="inlineStr">
        <is>
          <t>VAGGERYD</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67224-2021</t>
        </is>
      </c>
      <c r="B156" t="inlineStr">
        <is>
          <t>avverkningsanmälan</t>
        </is>
      </c>
      <c r="C156" t="inlineStr">
        <is>
          <t>Föryngringsavverkning</t>
        </is>
      </c>
      <c r="D156" s="1" t="n">
        <v>44523</v>
      </c>
      <c r="E156" s="1" t="n">
        <v>46218</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16560-2025</t>
        </is>
      </c>
      <c r="B157" t="inlineStr">
        <is>
          <t>avverkningsanmälan</t>
        </is>
      </c>
      <c r="C157" t="inlineStr">
        <is>
          <t>Föryngringsavverkning</t>
        </is>
      </c>
      <c r="D157" s="1" t="n">
        <v>45751</v>
      </c>
      <c r="E157" s="1" t="n">
        <v>46218</v>
      </c>
      <c r="F157" t="inlineStr">
        <is>
          <t>JÖNKÖPINGS LÄN</t>
        </is>
      </c>
      <c r="G157" t="inlineStr">
        <is>
          <t>VAGGERYD</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60309-2022</t>
        </is>
      </c>
      <c r="B158" t="inlineStr">
        <is>
          <t>avverkningsanmälan</t>
        </is>
      </c>
      <c r="C158" t="inlineStr">
        <is>
          <t>Föryngringsavverkning</t>
        </is>
      </c>
      <c r="D158" s="1" t="n">
        <v>44910</v>
      </c>
      <c r="E158" s="1" t="n">
        <v>46218</v>
      </c>
      <c r="F158" t="inlineStr">
        <is>
          <t>JÖNKÖPINGS LÄN</t>
        </is>
      </c>
      <c r="G158" t="inlineStr">
        <is>
          <t>VAGGERYD</t>
        </is>
      </c>
      <c r="H158" t="inlineStr">
        <is>
          <t>Sveaskog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60326-2022</t>
        </is>
      </c>
      <c r="B159" t="inlineStr">
        <is>
          <t>avverkningsanmälan</t>
        </is>
      </c>
      <c r="C159" t="inlineStr">
        <is>
          <t>Föryngringsavverkning</t>
        </is>
      </c>
      <c r="D159" s="1" t="n">
        <v>44910</v>
      </c>
      <c r="E159" s="1" t="n">
        <v>46218</v>
      </c>
      <c r="F159" t="inlineStr">
        <is>
          <t>JÖNKÖPINGS LÄN</t>
        </is>
      </c>
      <c r="G159" t="inlineStr">
        <is>
          <t>VAGGERYD</t>
        </is>
      </c>
      <c r="H159" t="inlineStr">
        <is>
          <t>Sveaskog</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71537-2021</t>
        </is>
      </c>
      <c r="B160" t="inlineStr">
        <is>
          <t>avverkningsanmälan</t>
        </is>
      </c>
      <c r="C160" t="inlineStr">
        <is>
          <t>Föryngringsavverkning</t>
        </is>
      </c>
      <c r="D160" s="1" t="n">
        <v>44540</v>
      </c>
      <c r="E160" s="1" t="n">
        <v>46218</v>
      </c>
      <c r="F160" t="inlineStr">
        <is>
          <t>JÖNKÖPINGS LÄN</t>
        </is>
      </c>
      <c r="G160" t="inlineStr">
        <is>
          <t>VAGGERYD</t>
        </is>
      </c>
      <c r="H160" t="inlineStr">
        <is>
          <t>Sveaskog</t>
        </is>
      </c>
      <c r="I160" t="n">
        <v>2.5</v>
      </c>
      <c r="J160" t="n">
        <v>0</v>
      </c>
      <c r="K160" t="n">
        <v>0</v>
      </c>
      <c r="L160" t="n">
        <v>0</v>
      </c>
      <c r="M160" t="n">
        <v>0</v>
      </c>
      <c r="N160" t="n">
        <v>0</v>
      </c>
      <c r="O160" t="n">
        <v>0</v>
      </c>
      <c r="P160" t="n">
        <v>0</v>
      </c>
      <c r="Q160" t="n">
        <v>0</v>
      </c>
      <c r="R160" t="n">
        <v>0</v>
      </c>
      <c r="S160" t="n">
        <v>0</v>
      </c>
      <c r="T160" t="n">
        <v>0</v>
      </c>
      <c r="U160" s="2" t="inlineStr"/>
    </row>
    <row r="161" ht="15" customHeight="1">
      <c r="A161" t="inlineStr">
        <is>
          <t>A 53780-2021</t>
        </is>
      </c>
      <c r="B161" t="inlineStr">
        <is>
          <t>avverkningsanmälan</t>
        </is>
      </c>
      <c r="C161" t="inlineStr">
        <is>
          <t>Föryngringsavverkning</t>
        </is>
      </c>
      <c r="D161" s="1" t="n">
        <v>44469</v>
      </c>
      <c r="E161" s="1" t="n">
        <v>46218</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27461-2023</t>
        </is>
      </c>
      <c r="B162" t="inlineStr">
        <is>
          <t>avverkningsanmälan</t>
        </is>
      </c>
      <c r="C162" t="inlineStr">
        <is>
          <t>Föryngringsavverkning</t>
        </is>
      </c>
      <c r="D162" s="1" t="n">
        <v>45097</v>
      </c>
      <c r="E162" s="1" t="n">
        <v>46218</v>
      </c>
      <c r="F162" t="inlineStr">
        <is>
          <t>JÖNKÖPINGS LÄN</t>
        </is>
      </c>
      <c r="G162" t="inlineStr">
        <is>
          <t>VAGGERYD</t>
        </is>
      </c>
      <c r="H162" t="inlineStr">
        <is>
          <t>Sveaskog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40333-2023</t>
        </is>
      </c>
      <c r="B163" t="inlineStr">
        <is>
          <t>avverkningsanmälan</t>
        </is>
      </c>
      <c r="C163" t="inlineStr">
        <is>
          <t>Avverkning för annat ändamål</t>
        </is>
      </c>
      <c r="D163" s="1" t="n">
        <v>45169</v>
      </c>
      <c r="E163" s="1" t="n">
        <v>46218</v>
      </c>
      <c r="F163" t="inlineStr">
        <is>
          <t>JÖNKÖPINGS LÄN</t>
        </is>
      </c>
      <c r="G163" t="inlineStr">
        <is>
          <t>VAGGERYD</t>
        </is>
      </c>
      <c r="I163" t="n">
        <v>3.9</v>
      </c>
      <c r="J163" t="n">
        <v>0</v>
      </c>
      <c r="K163" t="n">
        <v>0</v>
      </c>
      <c r="L163" t="n">
        <v>0</v>
      </c>
      <c r="M163" t="n">
        <v>0</v>
      </c>
      <c r="N163" t="n">
        <v>0</v>
      </c>
      <c r="O163" t="n">
        <v>0</v>
      </c>
      <c r="P163" t="n">
        <v>0</v>
      </c>
      <c r="Q163" t="n">
        <v>0</v>
      </c>
      <c r="R163" t="n">
        <v>0</v>
      </c>
      <c r="S163" t="n">
        <v>0</v>
      </c>
      <c r="T163" t="n">
        <v>0</v>
      </c>
      <c r="U163" s="2" t="inlineStr"/>
    </row>
    <row r="164" ht="15" customHeight="1">
      <c r="A164" t="inlineStr">
        <is>
          <t>A 52420-2023</t>
        </is>
      </c>
      <c r="B164" t="inlineStr">
        <is>
          <t>avverkningsanmälan</t>
        </is>
      </c>
      <c r="C164" t="inlineStr">
        <is>
          <t>Föryngringsavverkning</t>
        </is>
      </c>
      <c r="D164" s="1" t="n">
        <v>45225</v>
      </c>
      <c r="E164" s="1" t="n">
        <v>46218</v>
      </c>
      <c r="F164" t="inlineStr">
        <is>
          <t>JÖNKÖPINGS LÄN</t>
        </is>
      </c>
      <c r="G164" t="inlineStr">
        <is>
          <t>VAGGERYD</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40685-2022</t>
        </is>
      </c>
      <c r="B165" t="inlineStr">
        <is>
          <t>avverkningsanmälan</t>
        </is>
      </c>
      <c r="C165" t="inlineStr">
        <is>
          <t>Föryngringsavverkning</t>
        </is>
      </c>
      <c r="D165" s="1" t="n">
        <v>44824</v>
      </c>
      <c r="E165" s="1" t="n">
        <v>46218</v>
      </c>
      <c r="F165" t="inlineStr">
        <is>
          <t>JÖNKÖPINGS LÄN</t>
        </is>
      </c>
      <c r="G165" t="inlineStr">
        <is>
          <t>VAGGERYD</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16093-2025</t>
        </is>
      </c>
      <c r="B166" t="inlineStr">
        <is>
          <t>avverkningsanmälan</t>
        </is>
      </c>
      <c r="C166" t="inlineStr">
        <is>
          <t>Föryngringsavverkning</t>
        </is>
      </c>
      <c r="D166" s="1" t="n">
        <v>45749</v>
      </c>
      <c r="E166" s="1" t="n">
        <v>46218</v>
      </c>
      <c r="F166" t="inlineStr">
        <is>
          <t>JÖNKÖPINGS LÄN</t>
        </is>
      </c>
      <c r="G166" t="inlineStr">
        <is>
          <t>VAGGERYD</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45304-2025</t>
        </is>
      </c>
      <c r="B167" t="inlineStr">
        <is>
          <t>avverkningsanmälan</t>
        </is>
      </c>
      <c r="C167" t="inlineStr">
        <is>
          <t>Föryngringsavverkning</t>
        </is>
      </c>
      <c r="D167" s="1" t="n">
        <v>45921</v>
      </c>
      <c r="E167" s="1" t="n">
        <v>46218</v>
      </c>
      <c r="F167" t="inlineStr">
        <is>
          <t>JÖNKÖPINGS LÄN</t>
        </is>
      </c>
      <c r="G167" t="inlineStr">
        <is>
          <t>VAGGERYD</t>
        </is>
      </c>
      <c r="I167" t="n">
        <v>5.2</v>
      </c>
      <c r="J167" t="n">
        <v>0</v>
      </c>
      <c r="K167" t="n">
        <v>0</v>
      </c>
      <c r="L167" t="n">
        <v>0</v>
      </c>
      <c r="M167" t="n">
        <v>0</v>
      </c>
      <c r="N167" t="n">
        <v>0</v>
      </c>
      <c r="O167" t="n">
        <v>0</v>
      </c>
      <c r="P167" t="n">
        <v>0</v>
      </c>
      <c r="Q167" t="n">
        <v>0</v>
      </c>
      <c r="R167" t="n">
        <v>0</v>
      </c>
      <c r="S167" t="n">
        <v>0</v>
      </c>
      <c r="T167" t="n">
        <v>0</v>
      </c>
      <c r="U167" s="2" t="inlineStr"/>
    </row>
    <row r="168" ht="15" customHeight="1">
      <c r="A168" t="inlineStr">
        <is>
          <t>A 30915-2024</t>
        </is>
      </c>
      <c r="B168" t="inlineStr">
        <is>
          <t>avverkningsanmälan</t>
        </is>
      </c>
      <c r="C168" t="inlineStr">
        <is>
          <t>Föryngringsavverkning</t>
        </is>
      </c>
      <c r="D168" s="1" t="n">
        <v>45498</v>
      </c>
      <c r="E168" s="1" t="n">
        <v>46218</v>
      </c>
      <c r="F168" t="inlineStr">
        <is>
          <t>JÖNKÖPINGS LÄN</t>
        </is>
      </c>
      <c r="G168" t="inlineStr">
        <is>
          <t>VAGGERYD</t>
        </is>
      </c>
      <c r="H168" t="inlineStr">
        <is>
          <t>Sveaskog</t>
        </is>
      </c>
      <c r="I168" t="n">
        <v>4.6</v>
      </c>
      <c r="J168" t="n">
        <v>0</v>
      </c>
      <c r="K168" t="n">
        <v>0</v>
      </c>
      <c r="L168" t="n">
        <v>0</v>
      </c>
      <c r="M168" t="n">
        <v>0</v>
      </c>
      <c r="N168" t="n">
        <v>0</v>
      </c>
      <c r="O168" t="n">
        <v>0</v>
      </c>
      <c r="P168" t="n">
        <v>0</v>
      </c>
      <c r="Q168" t="n">
        <v>0</v>
      </c>
      <c r="R168" t="n">
        <v>0</v>
      </c>
      <c r="S168" t="n">
        <v>0</v>
      </c>
      <c r="T168" t="n">
        <v>0</v>
      </c>
      <c r="U168" s="2" t="inlineStr"/>
    </row>
    <row r="169" ht="15" customHeight="1">
      <c r="A169" t="inlineStr">
        <is>
          <t>A 45302-2025</t>
        </is>
      </c>
      <c r="B169" t="inlineStr">
        <is>
          <t>avverkningsanmälan</t>
        </is>
      </c>
      <c r="C169" t="inlineStr">
        <is>
          <t>Föryngringsavverkning</t>
        </is>
      </c>
      <c r="D169" s="1" t="n">
        <v>45921</v>
      </c>
      <c r="E169" s="1" t="n">
        <v>46218</v>
      </c>
      <c r="F169" t="inlineStr">
        <is>
          <t>JÖNKÖPINGS LÄN</t>
        </is>
      </c>
      <c r="G169" t="inlineStr">
        <is>
          <t>VAGGERYD</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45303-2025</t>
        </is>
      </c>
      <c r="B170" t="inlineStr">
        <is>
          <t>avverkningsanmälan</t>
        </is>
      </c>
      <c r="C170" t="inlineStr">
        <is>
          <t>Föryngringsavverkning</t>
        </is>
      </c>
      <c r="D170" s="1" t="n">
        <v>45921</v>
      </c>
      <c r="E170" s="1" t="n">
        <v>46218</v>
      </c>
      <c r="F170" t="inlineStr">
        <is>
          <t>JÖNKÖPINGS LÄN</t>
        </is>
      </c>
      <c r="G170" t="inlineStr">
        <is>
          <t>VAGGERYD</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45305-2025</t>
        </is>
      </c>
      <c r="B171" t="inlineStr">
        <is>
          <t>avverkningsanmälan</t>
        </is>
      </c>
      <c r="C171" t="inlineStr">
        <is>
          <t>Föryngringsavverkning</t>
        </is>
      </c>
      <c r="D171" s="1" t="n">
        <v>45921</v>
      </c>
      <c r="E171" s="1" t="n">
        <v>46218</v>
      </c>
      <c r="F171" t="inlineStr">
        <is>
          <t>JÖNKÖPINGS LÄN</t>
        </is>
      </c>
      <c r="G171" t="inlineStr">
        <is>
          <t>VAGGERYD</t>
        </is>
      </c>
      <c r="I171" t="n">
        <v>5.7</v>
      </c>
      <c r="J171" t="n">
        <v>0</v>
      </c>
      <c r="K171" t="n">
        <v>0</v>
      </c>
      <c r="L171" t="n">
        <v>0</v>
      </c>
      <c r="M171" t="n">
        <v>0</v>
      </c>
      <c r="N171" t="n">
        <v>0</v>
      </c>
      <c r="O171" t="n">
        <v>0</v>
      </c>
      <c r="P171" t="n">
        <v>0</v>
      </c>
      <c r="Q171" t="n">
        <v>0</v>
      </c>
      <c r="R171" t="n">
        <v>0</v>
      </c>
      <c r="S171" t="n">
        <v>0</v>
      </c>
      <c r="T171" t="n">
        <v>0</v>
      </c>
      <c r="U171" s="2" t="inlineStr"/>
    </row>
    <row r="172" ht="15" customHeight="1">
      <c r="A172" t="inlineStr">
        <is>
          <t>A 45542-2025</t>
        </is>
      </c>
      <c r="B172" t="inlineStr">
        <is>
          <t>avverkningsanmälan</t>
        </is>
      </c>
      <c r="C172" t="inlineStr">
        <is>
          <t>Föryngringsavverkning</t>
        </is>
      </c>
      <c r="D172" s="1" t="n">
        <v>45922</v>
      </c>
      <c r="E172" s="1" t="n">
        <v>46218</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26745-2024</t>
        </is>
      </c>
      <c r="B173" t="inlineStr">
        <is>
          <t>avverkningsanmälan</t>
        </is>
      </c>
      <c r="C173" t="inlineStr">
        <is>
          <t>Föryngringsavverkning</t>
        </is>
      </c>
      <c r="D173" s="1" t="n">
        <v>45470</v>
      </c>
      <c r="E173" s="1" t="n">
        <v>46218</v>
      </c>
      <c r="F173" t="inlineStr">
        <is>
          <t>JÖNKÖPINGS LÄN</t>
        </is>
      </c>
      <c r="G173" t="inlineStr">
        <is>
          <t>VAGGERYD</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35703-2024</t>
        </is>
      </c>
      <c r="B174" t="inlineStr">
        <is>
          <t>avverkningsanmälan</t>
        </is>
      </c>
      <c r="C174" t="inlineStr">
        <is>
          <t>Föryngringsavverkning</t>
        </is>
      </c>
      <c r="D174" s="1" t="n">
        <v>45532</v>
      </c>
      <c r="E174" s="1" t="n">
        <v>46218</v>
      </c>
      <c r="F174" t="inlineStr">
        <is>
          <t>JÖNKÖPINGS LÄN</t>
        </is>
      </c>
      <c r="G174" t="inlineStr">
        <is>
          <t>VAGGERYD</t>
        </is>
      </c>
      <c r="I174" t="n">
        <v>5.4</v>
      </c>
      <c r="J174" t="n">
        <v>0</v>
      </c>
      <c r="K174" t="n">
        <v>0</v>
      </c>
      <c r="L174" t="n">
        <v>0</v>
      </c>
      <c r="M174" t="n">
        <v>0</v>
      </c>
      <c r="N174" t="n">
        <v>0</v>
      </c>
      <c r="O174" t="n">
        <v>0</v>
      </c>
      <c r="P174" t="n">
        <v>0</v>
      </c>
      <c r="Q174" t="n">
        <v>0</v>
      </c>
      <c r="R174" t="n">
        <v>0</v>
      </c>
      <c r="S174" t="n">
        <v>0</v>
      </c>
      <c r="T174" t="n">
        <v>0</v>
      </c>
      <c r="U174" s="2" t="inlineStr"/>
    </row>
    <row r="175" ht="15" customHeight="1">
      <c r="A175" t="inlineStr">
        <is>
          <t>A 43052-2024</t>
        </is>
      </c>
      <c r="B175" t="inlineStr">
        <is>
          <t>avverkningsanmälan</t>
        </is>
      </c>
      <c r="C175" t="inlineStr">
        <is>
          <t>Föryngringsavverkning</t>
        </is>
      </c>
      <c r="D175" s="1" t="n">
        <v>45567</v>
      </c>
      <c r="E175" s="1" t="n">
        <v>46218</v>
      </c>
      <c r="F175" t="inlineStr">
        <is>
          <t>JÖNKÖPINGS LÄN</t>
        </is>
      </c>
      <c r="G175" t="inlineStr">
        <is>
          <t>VAGGERYD</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6644-2023</t>
        </is>
      </c>
      <c r="B176" t="inlineStr">
        <is>
          <t>avverkningsanmälan</t>
        </is>
      </c>
      <c r="C176" t="inlineStr">
        <is>
          <t>Avverkning för att bevara och utveckla /försöksver</t>
        </is>
      </c>
      <c r="D176" s="1" t="n">
        <v>44966</v>
      </c>
      <c r="E176" s="1" t="n">
        <v>46218</v>
      </c>
      <c r="F176" t="inlineStr">
        <is>
          <t>JÖNKÖPINGS LÄN</t>
        </is>
      </c>
      <c r="G176" t="inlineStr">
        <is>
          <t>VAGGERYD</t>
        </is>
      </c>
      <c r="H176" t="inlineStr">
        <is>
          <t>Sveaskog</t>
        </is>
      </c>
      <c r="I176" t="n">
        <v>4</v>
      </c>
      <c r="J176" t="n">
        <v>0</v>
      </c>
      <c r="K176" t="n">
        <v>0</v>
      </c>
      <c r="L176" t="n">
        <v>0</v>
      </c>
      <c r="M176" t="n">
        <v>0</v>
      </c>
      <c r="N176" t="n">
        <v>0</v>
      </c>
      <c r="O176" t="n">
        <v>0</v>
      </c>
      <c r="P176" t="n">
        <v>0</v>
      </c>
      <c r="Q176" t="n">
        <v>0</v>
      </c>
      <c r="R176" t="n">
        <v>0</v>
      </c>
      <c r="S176" t="n">
        <v>0</v>
      </c>
      <c r="T176" t="n">
        <v>0</v>
      </c>
      <c r="U176" s="2" t="inlineStr"/>
    </row>
    <row r="177" ht="15" customHeight="1">
      <c r="A177" t="inlineStr">
        <is>
          <t>A 9065-2023</t>
        </is>
      </c>
      <c r="B177" t="inlineStr">
        <is>
          <t>avverkningsanmälan</t>
        </is>
      </c>
      <c r="C177" t="inlineStr">
        <is>
          <t>Föryngringsavverkning</t>
        </is>
      </c>
      <c r="D177" s="1" t="n">
        <v>44979</v>
      </c>
      <c r="E177" s="1" t="n">
        <v>46218</v>
      </c>
      <c r="F177" t="inlineStr">
        <is>
          <t>JÖNKÖPINGS LÄN</t>
        </is>
      </c>
      <c r="G177" t="inlineStr">
        <is>
          <t>VAGGERYD</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47924-2022</t>
        </is>
      </c>
      <c r="B178" t="inlineStr">
        <is>
          <t>avverkningsanmälan</t>
        </is>
      </c>
      <c r="C178" t="inlineStr">
        <is>
          <t>Föryngringsavverkning</t>
        </is>
      </c>
      <c r="D178" s="1" t="n">
        <v>44855</v>
      </c>
      <c r="E178" s="1" t="n">
        <v>46218</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55246-2023</t>
        </is>
      </c>
      <c r="B179" t="inlineStr">
        <is>
          <t>avverkningsanmälan</t>
        </is>
      </c>
      <c r="C179" t="inlineStr">
        <is>
          <t>Föryngringsavverkning</t>
        </is>
      </c>
      <c r="D179" s="1" t="n">
        <v>45237</v>
      </c>
      <c r="E179" s="1" t="n">
        <v>46218</v>
      </c>
      <c r="F179" t="inlineStr">
        <is>
          <t>JÖNKÖPINGS LÄN</t>
        </is>
      </c>
      <c r="G179" t="inlineStr">
        <is>
          <t>VAGGERYD</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18764-2025</t>
        </is>
      </c>
      <c r="B180" t="inlineStr">
        <is>
          <t>avverkningsanmälan</t>
        </is>
      </c>
      <c r="C180" t="inlineStr">
        <is>
          <t>Föryngringsavverkning</t>
        </is>
      </c>
      <c r="D180" s="1" t="n">
        <v>45764</v>
      </c>
      <c r="E180" s="1" t="n">
        <v>46218</v>
      </c>
      <c r="F180" t="inlineStr">
        <is>
          <t>JÖNKÖPINGS LÄN</t>
        </is>
      </c>
      <c r="G180" t="inlineStr">
        <is>
          <t>VAGGERYD</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5318-2024</t>
        </is>
      </c>
      <c r="B181" t="inlineStr">
        <is>
          <t>avverkningsanmälan</t>
        </is>
      </c>
      <c r="C181" t="inlineStr">
        <is>
          <t>Föryngringsavverkning</t>
        </is>
      </c>
      <c r="D181" s="1" t="n">
        <v>45330</v>
      </c>
      <c r="E181" s="1" t="n">
        <v>46218</v>
      </c>
      <c r="F181" t="inlineStr">
        <is>
          <t>JÖNKÖPINGS LÄN</t>
        </is>
      </c>
      <c r="G181" t="inlineStr">
        <is>
          <t>VAGGERYD</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5319-2024</t>
        </is>
      </c>
      <c r="B182" t="inlineStr">
        <is>
          <t>avverkningsanmälan</t>
        </is>
      </c>
      <c r="C182" t="inlineStr">
        <is>
          <t>Föryngringsavverkning</t>
        </is>
      </c>
      <c r="D182" s="1" t="n">
        <v>45330</v>
      </c>
      <c r="E182" s="1" t="n">
        <v>46218</v>
      </c>
      <c r="F182" t="inlineStr">
        <is>
          <t>JÖNKÖPINGS LÄN</t>
        </is>
      </c>
      <c r="G182" t="inlineStr">
        <is>
          <t>VAGGERYD</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11103-2024</t>
        </is>
      </c>
      <c r="B183" t="inlineStr">
        <is>
          <t>avverkningsanmälan</t>
        </is>
      </c>
      <c r="C183" t="inlineStr">
        <is>
          <t>Avverkning för annat ändamål</t>
        </is>
      </c>
      <c r="D183" s="1" t="n">
        <v>45371</v>
      </c>
      <c r="E183" s="1" t="n">
        <v>46218</v>
      </c>
      <c r="F183" t="inlineStr">
        <is>
          <t>JÖNKÖPINGS LÄN</t>
        </is>
      </c>
      <c r="G183" t="inlineStr">
        <is>
          <t>VAGGERYD</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11105-2024</t>
        </is>
      </c>
      <c r="B184" t="inlineStr">
        <is>
          <t>avverkningsanmälan</t>
        </is>
      </c>
      <c r="C184" t="inlineStr">
        <is>
          <t>Föryngringsavverkning</t>
        </is>
      </c>
      <c r="D184" s="1" t="n">
        <v>45371</v>
      </c>
      <c r="E184" s="1" t="n">
        <v>46218</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5335-2025</t>
        </is>
      </c>
      <c r="B185" t="inlineStr">
        <is>
          <t>avverkningsanmälan</t>
        </is>
      </c>
      <c r="C185" t="inlineStr">
        <is>
          <t>Föryngringsavverkning</t>
        </is>
      </c>
      <c r="D185" s="1" t="n">
        <v>45659</v>
      </c>
      <c r="E185" s="1" t="n">
        <v>46218</v>
      </c>
      <c r="F185" t="inlineStr">
        <is>
          <t>JÖNKÖPINGS LÄN</t>
        </is>
      </c>
      <c r="G185" t="inlineStr">
        <is>
          <t>VAGGERYD</t>
        </is>
      </c>
      <c r="I185" t="n">
        <v>10.2</v>
      </c>
      <c r="J185" t="n">
        <v>0</v>
      </c>
      <c r="K185" t="n">
        <v>0</v>
      </c>
      <c r="L185" t="n">
        <v>0</v>
      </c>
      <c r="M185" t="n">
        <v>0</v>
      </c>
      <c r="N185" t="n">
        <v>0</v>
      </c>
      <c r="O185" t="n">
        <v>0</v>
      </c>
      <c r="P185" t="n">
        <v>0</v>
      </c>
      <c r="Q185" t="n">
        <v>0</v>
      </c>
      <c r="R185" t="n">
        <v>0</v>
      </c>
      <c r="S185" t="n">
        <v>0</v>
      </c>
      <c r="T185" t="n">
        <v>0</v>
      </c>
      <c r="U185" s="2" t="inlineStr"/>
    </row>
    <row r="186" ht="15" customHeight="1">
      <c r="A186" t="inlineStr">
        <is>
          <t>A 25620-2024</t>
        </is>
      </c>
      <c r="B186" t="inlineStr">
        <is>
          <t>avverkningsanmälan</t>
        </is>
      </c>
      <c r="C186" t="inlineStr">
        <is>
          <t>Föryngringsavverkning</t>
        </is>
      </c>
      <c r="D186" s="1" t="n">
        <v>45463</v>
      </c>
      <c r="E186" s="1" t="n">
        <v>46218</v>
      </c>
      <c r="F186" t="inlineStr">
        <is>
          <t>JÖNKÖPINGS LÄN</t>
        </is>
      </c>
      <c r="G186" t="inlineStr">
        <is>
          <t>VAGGERYD</t>
        </is>
      </c>
      <c r="H186" t="inlineStr">
        <is>
          <t>Sveaskog</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12456-2023</t>
        </is>
      </c>
      <c r="B187" t="inlineStr">
        <is>
          <t>avverkningsanmälan</t>
        </is>
      </c>
      <c r="C187" t="inlineStr">
        <is>
          <t>Föryngringsavverkning</t>
        </is>
      </c>
      <c r="D187" s="1" t="n">
        <v>44999</v>
      </c>
      <c r="E187" s="1" t="n">
        <v>46218</v>
      </c>
      <c r="F187" t="inlineStr">
        <is>
          <t>JÖNKÖPINGS LÄN</t>
        </is>
      </c>
      <c r="G187" t="inlineStr">
        <is>
          <t>VAGGERYD</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59553-2023</t>
        </is>
      </c>
      <c r="B188" t="inlineStr">
        <is>
          <t>avverkningsanmälan</t>
        </is>
      </c>
      <c r="C188" t="inlineStr">
        <is>
          <t>Föryngringsavverkning</t>
        </is>
      </c>
      <c r="D188" s="1" t="n">
        <v>45254</v>
      </c>
      <c r="E188" s="1" t="n">
        <v>46218</v>
      </c>
      <c r="F188" t="inlineStr">
        <is>
          <t>JÖNKÖPINGS LÄN</t>
        </is>
      </c>
      <c r="G188" t="inlineStr">
        <is>
          <t>VAGGERYD</t>
        </is>
      </c>
      <c r="H188" t="inlineStr">
        <is>
          <t>Sveaskog</t>
        </is>
      </c>
      <c r="I188" t="n">
        <v>4.9</v>
      </c>
      <c r="J188" t="n">
        <v>0</v>
      </c>
      <c r="K188" t="n">
        <v>0</v>
      </c>
      <c r="L188" t="n">
        <v>0</v>
      </c>
      <c r="M188" t="n">
        <v>0</v>
      </c>
      <c r="N188" t="n">
        <v>0</v>
      </c>
      <c r="O188" t="n">
        <v>0</v>
      </c>
      <c r="P188" t="n">
        <v>0</v>
      </c>
      <c r="Q188" t="n">
        <v>0</v>
      </c>
      <c r="R188" t="n">
        <v>0</v>
      </c>
      <c r="S188" t="n">
        <v>0</v>
      </c>
      <c r="T188" t="n">
        <v>0</v>
      </c>
      <c r="U188" s="2" t="inlineStr"/>
    </row>
    <row r="189" ht="15" customHeight="1">
      <c r="A189" t="inlineStr">
        <is>
          <t>A 19793-2023</t>
        </is>
      </c>
      <c r="B189" t="inlineStr">
        <is>
          <t>avverkningsanmälan</t>
        </is>
      </c>
      <c r="C189" t="inlineStr">
        <is>
          <t>Föryngringsavverkning</t>
        </is>
      </c>
      <c r="D189" s="1" t="n">
        <v>45051</v>
      </c>
      <c r="E189" s="1" t="n">
        <v>46218</v>
      </c>
      <c r="F189" t="inlineStr">
        <is>
          <t>JÖNKÖPINGS LÄN</t>
        </is>
      </c>
      <c r="G189" t="inlineStr">
        <is>
          <t>VAGGERYD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40881-2024</t>
        </is>
      </c>
      <c r="B190" t="inlineStr">
        <is>
          <t>avverkningsanmälan</t>
        </is>
      </c>
      <c r="C190" t="inlineStr">
        <is>
          <t>Föryngringsavverkning</t>
        </is>
      </c>
      <c r="D190" s="1" t="n">
        <v>45558</v>
      </c>
      <c r="E190" s="1" t="n">
        <v>46218</v>
      </c>
      <c r="F190" t="inlineStr">
        <is>
          <t>JÖNKÖPINGS LÄN</t>
        </is>
      </c>
      <c r="G190" t="inlineStr">
        <is>
          <t>VAGGERYD</t>
        </is>
      </c>
      <c r="H190" t="inlineStr">
        <is>
          <t>Sveaskog</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67942-2021</t>
        </is>
      </c>
      <c r="B191" t="inlineStr">
        <is>
          <t>avverkningsanmälan</t>
        </is>
      </c>
      <c r="C191" t="inlineStr">
        <is>
          <t>Föryngringsavverkning</t>
        </is>
      </c>
      <c r="D191" s="1" t="n">
        <v>44525</v>
      </c>
      <c r="E191" s="1" t="n">
        <v>46218</v>
      </c>
      <c r="F191" t="inlineStr">
        <is>
          <t>JÖNKÖPINGS LÄN</t>
        </is>
      </c>
      <c r="G191" t="inlineStr">
        <is>
          <t>VAGGERYD</t>
        </is>
      </c>
      <c r="H191" t="inlineStr">
        <is>
          <t>Sveaskog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9507-2024</t>
        </is>
      </c>
      <c r="B192" t="inlineStr">
        <is>
          <t>avverkningsanmälan</t>
        </is>
      </c>
      <c r="C192" t="inlineStr">
        <is>
          <t>Föryngringsavverkning</t>
        </is>
      </c>
      <c r="D192" s="1" t="n">
        <v>45359</v>
      </c>
      <c r="E192" s="1" t="n">
        <v>46218</v>
      </c>
      <c r="F192" t="inlineStr">
        <is>
          <t>JÖNKÖPINGS LÄN</t>
        </is>
      </c>
      <c r="G192" t="inlineStr">
        <is>
          <t>VAGGERYD</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73527-2021</t>
        </is>
      </c>
      <c r="B193" t="inlineStr">
        <is>
          <t>avverkningsanmälan</t>
        </is>
      </c>
      <c r="C193" t="inlineStr">
        <is>
          <t>Avverkning för annat ändamål</t>
        </is>
      </c>
      <c r="D193" s="1" t="n">
        <v>44550</v>
      </c>
      <c r="E193" s="1" t="n">
        <v>46218</v>
      </c>
      <c r="F193" t="inlineStr">
        <is>
          <t>JÖNKÖPINGS LÄN</t>
        </is>
      </c>
      <c r="G193" t="inlineStr">
        <is>
          <t>VAGGERYD</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16091-2025</t>
        </is>
      </c>
      <c r="B194" t="inlineStr">
        <is>
          <t>avverkningsanmälan</t>
        </is>
      </c>
      <c r="C194" t="inlineStr">
        <is>
          <t>Föryngringsavverkning</t>
        </is>
      </c>
      <c r="D194" s="1" t="n">
        <v>45749</v>
      </c>
      <c r="E194" s="1" t="n">
        <v>46218</v>
      </c>
      <c r="F194" t="inlineStr">
        <is>
          <t>JÖNKÖPINGS LÄN</t>
        </is>
      </c>
      <c r="G194" t="inlineStr">
        <is>
          <t>VAGGERYD</t>
        </is>
      </c>
      <c r="H194" t="inlineStr">
        <is>
          <t>Sveaskog</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22742-2024</t>
        </is>
      </c>
      <c r="B195" t="inlineStr">
        <is>
          <t>avverkningsanmälan</t>
        </is>
      </c>
      <c r="C195" t="inlineStr">
        <is>
          <t>Föryngringsavverkning</t>
        </is>
      </c>
      <c r="D195" s="1" t="n">
        <v>45448</v>
      </c>
      <c r="E195" s="1" t="n">
        <v>46218</v>
      </c>
      <c r="F195" t="inlineStr">
        <is>
          <t>JÖNKÖPINGS LÄN</t>
        </is>
      </c>
      <c r="G195" t="inlineStr">
        <is>
          <t>VAGGERYD</t>
        </is>
      </c>
      <c r="I195" t="n">
        <v>9.5</v>
      </c>
      <c r="J195" t="n">
        <v>0</v>
      </c>
      <c r="K195" t="n">
        <v>0</v>
      </c>
      <c r="L195" t="n">
        <v>0</v>
      </c>
      <c r="M195" t="n">
        <v>0</v>
      </c>
      <c r="N195" t="n">
        <v>0</v>
      </c>
      <c r="O195" t="n">
        <v>0</v>
      </c>
      <c r="P195" t="n">
        <v>0</v>
      </c>
      <c r="Q195" t="n">
        <v>0</v>
      </c>
      <c r="R195" t="n">
        <v>0</v>
      </c>
      <c r="S195" t="n">
        <v>0</v>
      </c>
      <c r="T195" t="n">
        <v>0</v>
      </c>
      <c r="U195" s="2" t="inlineStr"/>
    </row>
    <row r="196" ht="15" customHeight="1">
      <c r="A196" t="inlineStr">
        <is>
          <t>A 15926-2025</t>
        </is>
      </c>
      <c r="B196" t="inlineStr">
        <is>
          <t>avverkningsanmälan</t>
        </is>
      </c>
      <c r="C196" t="inlineStr">
        <is>
          <t>Föryngringsavverkning</t>
        </is>
      </c>
      <c r="D196" s="1" t="n">
        <v>45749</v>
      </c>
      <c r="E196" s="1" t="n">
        <v>46218</v>
      </c>
      <c r="F196" t="inlineStr">
        <is>
          <t>JÖNKÖPINGS LÄN</t>
        </is>
      </c>
      <c r="G196" t="inlineStr">
        <is>
          <t>VAGGERYD</t>
        </is>
      </c>
      <c r="H196" t="inlineStr">
        <is>
          <t>Sveaskog</t>
        </is>
      </c>
      <c r="I196" t="n">
        <v>2.8</v>
      </c>
      <c r="J196" t="n">
        <v>0</v>
      </c>
      <c r="K196" t="n">
        <v>0</v>
      </c>
      <c r="L196" t="n">
        <v>0</v>
      </c>
      <c r="M196" t="n">
        <v>0</v>
      </c>
      <c r="N196" t="n">
        <v>0</v>
      </c>
      <c r="O196" t="n">
        <v>0</v>
      </c>
      <c r="P196" t="n">
        <v>0</v>
      </c>
      <c r="Q196" t="n">
        <v>0</v>
      </c>
      <c r="R196" t="n">
        <v>0</v>
      </c>
      <c r="S196" t="n">
        <v>0</v>
      </c>
      <c r="T196" t="n">
        <v>0</v>
      </c>
      <c r="U196" s="2" t="inlineStr"/>
    </row>
    <row r="197" ht="15" customHeight="1">
      <c r="A197" t="inlineStr">
        <is>
          <t>A 15943-2025</t>
        </is>
      </c>
      <c r="B197" t="inlineStr">
        <is>
          <t>avverkningsanmälan</t>
        </is>
      </c>
      <c r="C197" t="inlineStr">
        <is>
          <t>Föryngringsavverkning</t>
        </is>
      </c>
      <c r="D197" s="1" t="n">
        <v>45749</v>
      </c>
      <c r="E197" s="1" t="n">
        <v>46218</v>
      </c>
      <c r="F197" t="inlineStr">
        <is>
          <t>JÖNKÖPINGS LÄN</t>
        </is>
      </c>
      <c r="G197" t="inlineStr">
        <is>
          <t>VAGGERYD</t>
        </is>
      </c>
      <c r="H197" t="inlineStr">
        <is>
          <t>Sveaskog</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20059-2024</t>
        </is>
      </c>
      <c r="B198" t="inlineStr">
        <is>
          <t>avverkningsanmälan</t>
        </is>
      </c>
      <c r="C198" t="inlineStr">
        <is>
          <t>Föryngringsavverkning</t>
        </is>
      </c>
      <c r="D198" s="1" t="n">
        <v>45434</v>
      </c>
      <c r="E198" s="1" t="n">
        <v>46218</v>
      </c>
      <c r="F198" t="inlineStr">
        <is>
          <t>JÖNKÖPINGS LÄN</t>
        </is>
      </c>
      <c r="G198" t="inlineStr">
        <is>
          <t>VAGGERYD</t>
        </is>
      </c>
      <c r="H198" t="inlineStr">
        <is>
          <t>Sveaskog</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15940-2025</t>
        </is>
      </c>
      <c r="B199" t="inlineStr">
        <is>
          <t>avverkningsanmälan</t>
        </is>
      </c>
      <c r="C199" t="inlineStr">
        <is>
          <t>Föryngringsavverkning</t>
        </is>
      </c>
      <c r="D199" s="1" t="n">
        <v>45749</v>
      </c>
      <c r="E199" s="1" t="n">
        <v>46218</v>
      </c>
      <c r="F199" t="inlineStr">
        <is>
          <t>JÖNKÖPINGS LÄN</t>
        </is>
      </c>
      <c r="G199" t="inlineStr">
        <is>
          <t>VAGGERYD</t>
        </is>
      </c>
      <c r="H199" t="inlineStr">
        <is>
          <t>Sveaskog</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9229-2024</t>
        </is>
      </c>
      <c r="B200" t="inlineStr">
        <is>
          <t>avverkningsanmälan</t>
        </is>
      </c>
      <c r="C200" t="inlineStr">
        <is>
          <t>Föryngringsavverkning</t>
        </is>
      </c>
      <c r="D200" s="1" t="n">
        <v>45357</v>
      </c>
      <c r="E200" s="1" t="n">
        <v>46218</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57306-2022</t>
        </is>
      </c>
      <c r="B201" t="inlineStr">
        <is>
          <t>avverkningsanmälan</t>
        </is>
      </c>
      <c r="C201" t="inlineStr">
        <is>
          <t>Föryngringsavverkning</t>
        </is>
      </c>
      <c r="D201" s="1" t="n">
        <v>44896</v>
      </c>
      <c r="E201" s="1" t="n">
        <v>46218</v>
      </c>
      <c r="F201" t="inlineStr">
        <is>
          <t>JÖNKÖPINGS LÄN</t>
        </is>
      </c>
      <c r="G201" t="inlineStr">
        <is>
          <t>VAGGERYD</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38504-2024</t>
        </is>
      </c>
      <c r="B202" t="inlineStr">
        <is>
          <t>avverkningsanmälan</t>
        </is>
      </c>
      <c r="C202" t="inlineStr">
        <is>
          <t>Föryngringsavverkning</t>
        </is>
      </c>
      <c r="D202" s="1" t="n">
        <v>45546</v>
      </c>
      <c r="E202" s="1" t="n">
        <v>46218</v>
      </c>
      <c r="F202" t="inlineStr">
        <is>
          <t>JÖNKÖPINGS LÄN</t>
        </is>
      </c>
      <c r="G202" t="inlineStr">
        <is>
          <t>VAGGERYD</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31197-2022</t>
        </is>
      </c>
      <c r="B203" t="inlineStr">
        <is>
          <t>avverkningsanmälan</t>
        </is>
      </c>
      <c r="C203" t="inlineStr">
        <is>
          <t>Föryngringsavverkning</t>
        </is>
      </c>
      <c r="D203" s="1" t="n">
        <v>44770</v>
      </c>
      <c r="E203" s="1" t="n">
        <v>46218</v>
      </c>
      <c r="F203" t="inlineStr">
        <is>
          <t>JÖNKÖPINGS LÄN</t>
        </is>
      </c>
      <c r="G203" t="inlineStr">
        <is>
          <t>VAGGERYD</t>
        </is>
      </c>
      <c r="I203" t="n">
        <v>5.3</v>
      </c>
      <c r="J203" t="n">
        <v>0</v>
      </c>
      <c r="K203" t="n">
        <v>0</v>
      </c>
      <c r="L203" t="n">
        <v>0</v>
      </c>
      <c r="M203" t="n">
        <v>0</v>
      </c>
      <c r="N203" t="n">
        <v>0</v>
      </c>
      <c r="O203" t="n">
        <v>0</v>
      </c>
      <c r="P203" t="n">
        <v>0</v>
      </c>
      <c r="Q203" t="n">
        <v>0</v>
      </c>
      <c r="R203" t="n">
        <v>0</v>
      </c>
      <c r="S203" t="n">
        <v>0</v>
      </c>
      <c r="T203" t="n">
        <v>0</v>
      </c>
      <c r="U203" s="2" t="inlineStr"/>
    </row>
    <row r="204" ht="15" customHeight="1">
      <c r="A204" t="inlineStr">
        <is>
          <t>A 73309-2021</t>
        </is>
      </c>
      <c r="B204" t="inlineStr">
        <is>
          <t>avverkningsanmälan</t>
        </is>
      </c>
      <c r="C204" t="inlineStr">
        <is>
          <t>Avverkning för annat ändamål</t>
        </is>
      </c>
      <c r="D204" s="1" t="n">
        <v>44551</v>
      </c>
      <c r="E204" s="1" t="n">
        <v>46218</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49885-2023</t>
        </is>
      </c>
      <c r="B205" t="inlineStr">
        <is>
          <t>avverkningsanmälan</t>
        </is>
      </c>
      <c r="C205" t="inlineStr">
        <is>
          <t>Föryngringsavverkning</t>
        </is>
      </c>
      <c r="D205" s="1" t="n">
        <v>45213</v>
      </c>
      <c r="E205" s="1" t="n">
        <v>46218</v>
      </c>
      <c r="F205" t="inlineStr">
        <is>
          <t>JÖNKÖPINGS LÄN</t>
        </is>
      </c>
      <c r="G205" t="inlineStr">
        <is>
          <t>VAGGERYD</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49230-2025</t>
        </is>
      </c>
      <c r="B206" t="inlineStr">
        <is>
          <t>avverkningsanmälan</t>
        </is>
      </c>
      <c r="C206" t="inlineStr">
        <is>
          <t>Föryngringsavverkning</t>
        </is>
      </c>
      <c r="D206" s="1" t="n">
        <v>45938</v>
      </c>
      <c r="E206" s="1" t="n">
        <v>46218</v>
      </c>
      <c r="F206" t="inlineStr">
        <is>
          <t>JÖNKÖPINGS LÄN</t>
        </is>
      </c>
      <c r="G206" t="inlineStr">
        <is>
          <t>VAGGERYD</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40706-2022</t>
        </is>
      </c>
      <c r="B207" t="inlineStr">
        <is>
          <t>avverkningsanmälan</t>
        </is>
      </c>
      <c r="C207" t="inlineStr">
        <is>
          <t>Föryngringsavverkning</t>
        </is>
      </c>
      <c r="D207" s="1" t="n">
        <v>44824</v>
      </c>
      <c r="E207" s="1" t="n">
        <v>46218</v>
      </c>
      <c r="F207" t="inlineStr">
        <is>
          <t>JÖNKÖPINGS LÄN</t>
        </is>
      </c>
      <c r="G207" t="inlineStr">
        <is>
          <t>VAGGERYD</t>
        </is>
      </c>
      <c r="I207" t="n">
        <v>7.3</v>
      </c>
      <c r="J207" t="n">
        <v>0</v>
      </c>
      <c r="K207" t="n">
        <v>0</v>
      </c>
      <c r="L207" t="n">
        <v>0</v>
      </c>
      <c r="M207" t="n">
        <v>0</v>
      </c>
      <c r="N207" t="n">
        <v>0</v>
      </c>
      <c r="O207" t="n">
        <v>0</v>
      </c>
      <c r="P207" t="n">
        <v>0</v>
      </c>
      <c r="Q207" t="n">
        <v>0</v>
      </c>
      <c r="R207" t="n">
        <v>0</v>
      </c>
      <c r="S207" t="n">
        <v>0</v>
      </c>
      <c r="T207" t="n">
        <v>0</v>
      </c>
      <c r="U207" s="2" t="inlineStr"/>
    </row>
    <row r="208" ht="15" customHeight="1">
      <c r="A208" t="inlineStr">
        <is>
          <t>A 39366-2023</t>
        </is>
      </c>
      <c r="B208" t="inlineStr">
        <is>
          <t>avverkningsanmälan</t>
        </is>
      </c>
      <c r="C208" t="inlineStr">
        <is>
          <t>Föryngringsavverkning</t>
        </is>
      </c>
      <c r="D208" s="1" t="n">
        <v>45166</v>
      </c>
      <c r="E208" s="1" t="n">
        <v>46218</v>
      </c>
      <c r="F208" t="inlineStr">
        <is>
          <t>JÖNKÖPINGS LÄN</t>
        </is>
      </c>
      <c r="G208" t="inlineStr">
        <is>
          <t>VAGGERYD</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54530-2023</t>
        </is>
      </c>
      <c r="B209" t="inlineStr">
        <is>
          <t>avverkningsanmälan</t>
        </is>
      </c>
      <c r="C209" t="inlineStr">
        <is>
          <t>Föryngringsavverkning</t>
        </is>
      </c>
      <c r="D209" s="1" t="n">
        <v>45233</v>
      </c>
      <c r="E209" s="1" t="n">
        <v>46218</v>
      </c>
      <c r="F209" t="inlineStr">
        <is>
          <t>JÖNKÖPINGS LÄN</t>
        </is>
      </c>
      <c r="G209" t="inlineStr">
        <is>
          <t>VAGGERYD</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16611-2025</t>
        </is>
      </c>
      <c r="B210" t="inlineStr">
        <is>
          <t>avverkningsanmälan</t>
        </is>
      </c>
      <c r="C210" t="inlineStr">
        <is>
          <t>Föryngringsavverkning</t>
        </is>
      </c>
      <c r="D210" s="1" t="n">
        <v>45753</v>
      </c>
      <c r="E210" s="1" t="n">
        <v>46218</v>
      </c>
      <c r="F210" t="inlineStr">
        <is>
          <t>JÖNKÖPINGS LÄN</t>
        </is>
      </c>
      <c r="G210" t="inlineStr">
        <is>
          <t>VAGGERYD</t>
        </is>
      </c>
      <c r="H210" t="inlineStr">
        <is>
          <t>Sveaskog</t>
        </is>
      </c>
      <c r="I210" t="n">
        <v>4</v>
      </c>
      <c r="J210" t="n">
        <v>0</v>
      </c>
      <c r="K210" t="n">
        <v>0</v>
      </c>
      <c r="L210" t="n">
        <v>0</v>
      </c>
      <c r="M210" t="n">
        <v>0</v>
      </c>
      <c r="N210" t="n">
        <v>0</v>
      </c>
      <c r="O210" t="n">
        <v>0</v>
      </c>
      <c r="P210" t="n">
        <v>0</v>
      </c>
      <c r="Q210" t="n">
        <v>0</v>
      </c>
      <c r="R210" t="n">
        <v>0</v>
      </c>
      <c r="S210" t="n">
        <v>0</v>
      </c>
      <c r="T210" t="n">
        <v>0</v>
      </c>
      <c r="U210" s="2" t="inlineStr"/>
    </row>
    <row r="211" ht="15" customHeight="1">
      <c r="A211" t="inlineStr">
        <is>
          <t>A 36564-2023</t>
        </is>
      </c>
      <c r="B211" t="inlineStr">
        <is>
          <t>avverkningsanmälan</t>
        </is>
      </c>
      <c r="C211" t="inlineStr">
        <is>
          <t>Avverkning för annat ändamål</t>
        </is>
      </c>
      <c r="D211" s="1" t="n">
        <v>45152</v>
      </c>
      <c r="E211" s="1" t="n">
        <v>46218</v>
      </c>
      <c r="F211" t="inlineStr">
        <is>
          <t>JÖNKÖPINGS LÄN</t>
        </is>
      </c>
      <c r="G211" t="inlineStr">
        <is>
          <t>VAGGERYD</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36567-2023</t>
        </is>
      </c>
      <c r="B212" t="inlineStr">
        <is>
          <t>avverkningsanmälan</t>
        </is>
      </c>
      <c r="C212" t="inlineStr">
        <is>
          <t>Avverkning för annat ändamål</t>
        </is>
      </c>
      <c r="D212" s="1" t="n">
        <v>45152</v>
      </c>
      <c r="E212" s="1" t="n">
        <v>46218</v>
      </c>
      <c r="F212" t="inlineStr">
        <is>
          <t>JÖNKÖPINGS LÄN</t>
        </is>
      </c>
      <c r="G212" t="inlineStr">
        <is>
          <t>VAGGERYD</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50418-2025</t>
        </is>
      </c>
      <c r="B213" t="inlineStr">
        <is>
          <t>avverkningsanmälan</t>
        </is>
      </c>
      <c r="C213" t="inlineStr">
        <is>
          <t>Föryngringsavverkning</t>
        </is>
      </c>
      <c r="D213" s="1" t="n">
        <v>45944</v>
      </c>
      <c r="E213" s="1" t="n">
        <v>46218</v>
      </c>
      <c r="F213" t="inlineStr">
        <is>
          <t>JÖNKÖPINGS LÄN</t>
        </is>
      </c>
      <c r="G213" t="inlineStr">
        <is>
          <t>VAGGERYD</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50415-2025</t>
        </is>
      </c>
      <c r="B214" t="inlineStr">
        <is>
          <t>avverkningsanmälan</t>
        </is>
      </c>
      <c r="C214" t="inlineStr">
        <is>
          <t>Föryngringsavverkning</t>
        </is>
      </c>
      <c r="D214" s="1" t="n">
        <v>45944</v>
      </c>
      <c r="E214" s="1" t="n">
        <v>46218</v>
      </c>
      <c r="F214" t="inlineStr">
        <is>
          <t>JÖNKÖPINGS LÄN</t>
        </is>
      </c>
      <c r="G214" t="inlineStr">
        <is>
          <t>VAGGERYD</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6385-2023</t>
        </is>
      </c>
      <c r="B215" t="inlineStr">
        <is>
          <t>avverkningsanmälan</t>
        </is>
      </c>
      <c r="C215" t="inlineStr">
        <is>
          <t>Föryngringsavverkning</t>
        </is>
      </c>
      <c r="D215" s="1" t="n">
        <v>44960</v>
      </c>
      <c r="E215" s="1" t="n">
        <v>46218</v>
      </c>
      <c r="F215" t="inlineStr">
        <is>
          <t>JÖNKÖPINGS LÄN</t>
        </is>
      </c>
      <c r="G215" t="inlineStr">
        <is>
          <t>VAGGERYD</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33638-2022</t>
        </is>
      </c>
      <c r="B216" t="inlineStr">
        <is>
          <t>avverkningsanmälan</t>
        </is>
      </c>
      <c r="C216" t="inlineStr">
        <is>
          <t>Föryngringsavverkning</t>
        </is>
      </c>
      <c r="D216" s="1" t="n">
        <v>44789</v>
      </c>
      <c r="E216" s="1" t="n">
        <v>46218</v>
      </c>
      <c r="F216" t="inlineStr">
        <is>
          <t>JÖNKÖPINGS LÄN</t>
        </is>
      </c>
      <c r="G216" t="inlineStr">
        <is>
          <t>VAGGERYD</t>
        </is>
      </c>
      <c r="I216" t="n">
        <v>4.7</v>
      </c>
      <c r="J216" t="n">
        <v>0</v>
      </c>
      <c r="K216" t="n">
        <v>0</v>
      </c>
      <c r="L216" t="n">
        <v>0</v>
      </c>
      <c r="M216" t="n">
        <v>0</v>
      </c>
      <c r="N216" t="n">
        <v>0</v>
      </c>
      <c r="O216" t="n">
        <v>0</v>
      </c>
      <c r="P216" t="n">
        <v>0</v>
      </c>
      <c r="Q216" t="n">
        <v>0</v>
      </c>
      <c r="R216" t="n">
        <v>0</v>
      </c>
      <c r="S216" t="n">
        <v>0</v>
      </c>
      <c r="T216" t="n">
        <v>0</v>
      </c>
      <c r="U216" s="2" t="inlineStr"/>
    </row>
    <row r="217" ht="15" customHeight="1">
      <c r="A217" t="inlineStr">
        <is>
          <t>A 9217-2022</t>
        </is>
      </c>
      <c r="B217" t="inlineStr">
        <is>
          <t>avverkningsanmälan</t>
        </is>
      </c>
      <c r="C217" t="inlineStr">
        <is>
          <t>Föryngringsavverkning</t>
        </is>
      </c>
      <c r="D217" s="1" t="n">
        <v>44616</v>
      </c>
      <c r="E217" s="1" t="n">
        <v>46218</v>
      </c>
      <c r="F217" t="inlineStr">
        <is>
          <t>JÖNKÖPINGS LÄN</t>
        </is>
      </c>
      <c r="G217" t="inlineStr">
        <is>
          <t>VAGGERYD</t>
        </is>
      </c>
      <c r="H217" t="inlineStr">
        <is>
          <t>Sveaskog</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49674-2023</t>
        </is>
      </c>
      <c r="B218" t="inlineStr">
        <is>
          <t>avverkningsanmälan</t>
        </is>
      </c>
      <c r="C218" t="inlineStr">
        <is>
          <t>Föryngringsavverkning</t>
        </is>
      </c>
      <c r="D218" s="1" t="n">
        <v>45212</v>
      </c>
      <c r="E218" s="1" t="n">
        <v>46218</v>
      </c>
      <c r="F218" t="inlineStr">
        <is>
          <t>JÖNKÖPINGS LÄN</t>
        </is>
      </c>
      <c r="G218" t="inlineStr">
        <is>
          <t>VAGGERYD</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12455-2022</t>
        </is>
      </c>
      <c r="B219" t="inlineStr">
        <is>
          <t>avverkningsanmälan</t>
        </is>
      </c>
      <c r="C219" t="inlineStr">
        <is>
          <t>Föryngringsavverkning</t>
        </is>
      </c>
      <c r="D219" s="1" t="n">
        <v>44638</v>
      </c>
      <c r="E219" s="1" t="n">
        <v>46218</v>
      </c>
      <c r="F219" t="inlineStr">
        <is>
          <t>JÖNKÖPINGS LÄN</t>
        </is>
      </c>
      <c r="G219" t="inlineStr">
        <is>
          <t>VAGGERYD</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19885-2023</t>
        </is>
      </c>
      <c r="B220" t="inlineStr">
        <is>
          <t>avverkningsanmälan</t>
        </is>
      </c>
      <c r="C220" t="inlineStr">
        <is>
          <t>Föryngringsavverkning</t>
        </is>
      </c>
      <c r="D220" s="1" t="n">
        <v>45054</v>
      </c>
      <c r="E220" s="1" t="n">
        <v>46218</v>
      </c>
      <c r="F220" t="inlineStr">
        <is>
          <t>JÖNKÖPINGS LÄN</t>
        </is>
      </c>
      <c r="G220" t="inlineStr">
        <is>
          <t>VAGGERYD</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19889-2023</t>
        </is>
      </c>
      <c r="B221" t="inlineStr">
        <is>
          <t>avverkningsanmälan</t>
        </is>
      </c>
      <c r="C221" t="inlineStr">
        <is>
          <t>Föryngringsavverkning</t>
        </is>
      </c>
      <c r="D221" s="1" t="n">
        <v>45054</v>
      </c>
      <c r="E221" s="1" t="n">
        <v>46218</v>
      </c>
      <c r="F221" t="inlineStr">
        <is>
          <t>JÖNKÖPINGS LÄN</t>
        </is>
      </c>
      <c r="G221" t="inlineStr">
        <is>
          <t>VAGGERYD</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762-2024</t>
        </is>
      </c>
      <c r="B222" t="inlineStr">
        <is>
          <t>avverkningsanmälan</t>
        </is>
      </c>
      <c r="C222" t="inlineStr">
        <is>
          <t>Föryngringsavverkning</t>
        </is>
      </c>
      <c r="D222" s="1" t="n">
        <v>45300</v>
      </c>
      <c r="E222" s="1" t="n">
        <v>46218</v>
      </c>
      <c r="F222" t="inlineStr">
        <is>
          <t>JÖNKÖPINGS LÄN</t>
        </is>
      </c>
      <c r="G222" t="inlineStr">
        <is>
          <t>VAGGERYD</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58925-2024</t>
        </is>
      </c>
      <c r="B223" t="inlineStr">
        <is>
          <t>avverkningsanmälan</t>
        </is>
      </c>
      <c r="C223" t="inlineStr">
        <is>
          <t>Avverkning för att bevara och utveckla /försöksver</t>
        </is>
      </c>
      <c r="D223" s="1" t="n">
        <v>45636</v>
      </c>
      <c r="E223" s="1" t="n">
        <v>46218</v>
      </c>
      <c r="F223" t="inlineStr">
        <is>
          <t>JÖNKÖPINGS LÄN</t>
        </is>
      </c>
      <c r="G223" t="inlineStr">
        <is>
          <t>VAGGERYD</t>
        </is>
      </c>
      <c r="H223" t="inlineStr">
        <is>
          <t>Sveaskog</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2653-2025</t>
        </is>
      </c>
      <c r="B224" t="inlineStr">
        <is>
          <t>avverkningsanmälan</t>
        </is>
      </c>
      <c r="C224" t="inlineStr">
        <is>
          <t>Föryngringsavverkning</t>
        </is>
      </c>
      <c r="D224" s="1" t="n">
        <v>45676</v>
      </c>
      <c r="E224" s="1" t="n">
        <v>46218</v>
      </c>
      <c r="F224" t="inlineStr">
        <is>
          <t>JÖNKÖPINGS LÄN</t>
        </is>
      </c>
      <c r="G224" t="inlineStr">
        <is>
          <t>VAGGERYD</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58836-2022</t>
        </is>
      </c>
      <c r="B225" t="inlineStr">
        <is>
          <t>avverkningsanmälan</t>
        </is>
      </c>
      <c r="C225" t="inlineStr">
        <is>
          <t>Föryngringsavverkning</t>
        </is>
      </c>
      <c r="D225" s="1" t="n">
        <v>44903</v>
      </c>
      <c r="E225" s="1" t="n">
        <v>46218</v>
      </c>
      <c r="F225" t="inlineStr">
        <is>
          <t>JÖNKÖPINGS LÄN</t>
        </is>
      </c>
      <c r="G225" t="inlineStr">
        <is>
          <t>VAGGERYD</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19116-2023</t>
        </is>
      </c>
      <c r="B226" t="inlineStr">
        <is>
          <t>avverkningsanmälan</t>
        </is>
      </c>
      <c r="C226" t="inlineStr">
        <is>
          <t>Föryngringsavverkning</t>
        </is>
      </c>
      <c r="D226" s="1" t="n">
        <v>45048</v>
      </c>
      <c r="E226" s="1" t="n">
        <v>46218</v>
      </c>
      <c r="F226" t="inlineStr">
        <is>
          <t>JÖNKÖPINGS LÄN</t>
        </is>
      </c>
      <c r="G226" t="inlineStr">
        <is>
          <t>VAGGERYD</t>
        </is>
      </c>
      <c r="I226" t="n">
        <v>4</v>
      </c>
      <c r="J226" t="n">
        <v>0</v>
      </c>
      <c r="K226" t="n">
        <v>0</v>
      </c>
      <c r="L226" t="n">
        <v>0</v>
      </c>
      <c r="M226" t="n">
        <v>0</v>
      </c>
      <c r="N226" t="n">
        <v>0</v>
      </c>
      <c r="O226" t="n">
        <v>0</v>
      </c>
      <c r="P226" t="n">
        <v>0</v>
      </c>
      <c r="Q226" t="n">
        <v>0</v>
      </c>
      <c r="R226" t="n">
        <v>0</v>
      </c>
      <c r="S226" t="n">
        <v>0</v>
      </c>
      <c r="T226" t="n">
        <v>0</v>
      </c>
      <c r="U226" s="2" t="inlineStr"/>
    </row>
    <row r="227" ht="15" customHeight="1">
      <c r="A227" t="inlineStr">
        <is>
          <t>A 15920-2025</t>
        </is>
      </c>
      <c r="B227" t="inlineStr">
        <is>
          <t>avverkningsanmälan</t>
        </is>
      </c>
      <c r="C227" t="inlineStr">
        <is>
          <t>Föryngringsavverkning</t>
        </is>
      </c>
      <c r="D227" s="1" t="n">
        <v>45749</v>
      </c>
      <c r="E227" s="1" t="n">
        <v>46218</v>
      </c>
      <c r="F227" t="inlineStr">
        <is>
          <t>JÖNKÖPINGS LÄN</t>
        </is>
      </c>
      <c r="G227" t="inlineStr">
        <is>
          <t>VAGGERYD</t>
        </is>
      </c>
      <c r="H227" t="inlineStr">
        <is>
          <t>Sveaskog</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46873-2024</t>
        </is>
      </c>
      <c r="B228" t="inlineStr">
        <is>
          <t>avverkningsanmälan</t>
        </is>
      </c>
      <c r="C228" t="inlineStr">
        <is>
          <t>Föryngringsavverkning</t>
        </is>
      </c>
      <c r="D228" s="1" t="n">
        <v>45583</v>
      </c>
      <c r="E228" s="1" t="n">
        <v>46218</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51628-2025</t>
        </is>
      </c>
      <c r="B229" t="inlineStr">
        <is>
          <t>avverkningsanmälan</t>
        </is>
      </c>
      <c r="C229" t="inlineStr">
        <is>
          <t>Föryngringsavverkning</t>
        </is>
      </c>
      <c r="D229" s="1" t="n">
        <v>45951</v>
      </c>
      <c r="E229" s="1" t="n">
        <v>46218</v>
      </c>
      <c r="F229" t="inlineStr">
        <is>
          <t>JÖNKÖPINGS LÄN</t>
        </is>
      </c>
      <c r="G229" t="inlineStr">
        <is>
          <t>VAGGERYD</t>
        </is>
      </c>
      <c r="I229" t="n">
        <v>4.6</v>
      </c>
      <c r="J229" t="n">
        <v>0</v>
      </c>
      <c r="K229" t="n">
        <v>0</v>
      </c>
      <c r="L229" t="n">
        <v>0</v>
      </c>
      <c r="M229" t="n">
        <v>0</v>
      </c>
      <c r="N229" t="n">
        <v>0</v>
      </c>
      <c r="O229" t="n">
        <v>0</v>
      </c>
      <c r="P229" t="n">
        <v>0</v>
      </c>
      <c r="Q229" t="n">
        <v>0</v>
      </c>
      <c r="R229" t="n">
        <v>0</v>
      </c>
      <c r="S229" t="n">
        <v>0</v>
      </c>
      <c r="T229" t="n">
        <v>0</v>
      </c>
      <c r="U229" s="2" t="inlineStr"/>
    </row>
    <row r="230" ht="15" customHeight="1">
      <c r="A230" t="inlineStr">
        <is>
          <t>A 43704-2023</t>
        </is>
      </c>
      <c r="B230" t="inlineStr">
        <is>
          <t>avverkningsanmälan</t>
        </is>
      </c>
      <c r="C230" t="inlineStr">
        <is>
          <t>Föryngringsavverkning</t>
        </is>
      </c>
      <c r="D230" s="1" t="n">
        <v>45187</v>
      </c>
      <c r="E230" s="1" t="n">
        <v>46218</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55705-2023</t>
        </is>
      </c>
      <c r="B231" t="inlineStr">
        <is>
          <t>avverkningsanmälan</t>
        </is>
      </c>
      <c r="C231" t="inlineStr">
        <is>
          <t>Föryngringsavverkning</t>
        </is>
      </c>
      <c r="D231" s="1" t="n">
        <v>45239</v>
      </c>
      <c r="E231" s="1" t="n">
        <v>46218</v>
      </c>
      <c r="F231" t="inlineStr">
        <is>
          <t>JÖNKÖPINGS LÄN</t>
        </is>
      </c>
      <c r="G231" t="inlineStr">
        <is>
          <t>VAGGERYD</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59187-2022</t>
        </is>
      </c>
      <c r="B232" t="inlineStr">
        <is>
          <t>avverkningsanmälan</t>
        </is>
      </c>
      <c r="C232" t="inlineStr">
        <is>
          <t>Föryngringsavverkning</t>
        </is>
      </c>
      <c r="D232" s="1" t="n">
        <v>44904</v>
      </c>
      <c r="E232" s="1" t="n">
        <v>46218</v>
      </c>
      <c r="F232" t="inlineStr">
        <is>
          <t>JÖNKÖPINGS LÄN</t>
        </is>
      </c>
      <c r="G232" t="inlineStr">
        <is>
          <t>VAGGERYD</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51944-2022</t>
        </is>
      </c>
      <c r="B233" t="inlineStr">
        <is>
          <t>avverkningsanmälan</t>
        </is>
      </c>
      <c r="C233" t="inlineStr">
        <is>
          <t>Föryngringsavverkning</t>
        </is>
      </c>
      <c r="D233" s="1" t="n">
        <v>44868</v>
      </c>
      <c r="E233" s="1" t="n">
        <v>46218</v>
      </c>
      <c r="F233" t="inlineStr">
        <is>
          <t>JÖNKÖPINGS LÄN</t>
        </is>
      </c>
      <c r="G233" t="inlineStr">
        <is>
          <t>VAGGERYD</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17512-2023</t>
        </is>
      </c>
      <c r="B234" t="inlineStr">
        <is>
          <t>avverkningsanmälan</t>
        </is>
      </c>
      <c r="C234" t="inlineStr">
        <is>
          <t>Föryngringsavverkning</t>
        </is>
      </c>
      <c r="D234" s="1" t="n">
        <v>45036</v>
      </c>
      <c r="E234" s="1" t="n">
        <v>46218</v>
      </c>
      <c r="F234" t="inlineStr">
        <is>
          <t>JÖNKÖPINGS LÄN</t>
        </is>
      </c>
      <c r="G234" t="inlineStr">
        <is>
          <t>VAGGERYD</t>
        </is>
      </c>
      <c r="I234" t="n">
        <v>4.2</v>
      </c>
      <c r="J234" t="n">
        <v>0</v>
      </c>
      <c r="K234" t="n">
        <v>0</v>
      </c>
      <c r="L234" t="n">
        <v>0</v>
      </c>
      <c r="M234" t="n">
        <v>0</v>
      </c>
      <c r="N234" t="n">
        <v>0</v>
      </c>
      <c r="O234" t="n">
        <v>0</v>
      </c>
      <c r="P234" t="n">
        <v>0</v>
      </c>
      <c r="Q234" t="n">
        <v>0</v>
      </c>
      <c r="R234" t="n">
        <v>0</v>
      </c>
      <c r="S234" t="n">
        <v>0</v>
      </c>
      <c r="T234" t="n">
        <v>0</v>
      </c>
      <c r="U234" s="2" t="inlineStr"/>
    </row>
    <row r="235" ht="15" customHeight="1">
      <c r="A235" t="inlineStr">
        <is>
          <t>A 52084-2025</t>
        </is>
      </c>
      <c r="B235" t="inlineStr">
        <is>
          <t>avverkningsanmälan</t>
        </is>
      </c>
      <c r="C235" t="inlineStr">
        <is>
          <t>Föryngringsavverkning</t>
        </is>
      </c>
      <c r="D235" s="1" t="n">
        <v>45952</v>
      </c>
      <c r="E235" s="1" t="n">
        <v>46218</v>
      </c>
      <c r="F235" t="inlineStr">
        <is>
          <t>JÖNKÖPINGS LÄN</t>
        </is>
      </c>
      <c r="G235" t="inlineStr">
        <is>
          <t>VAGGERYD</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51747-2024</t>
        </is>
      </c>
      <c r="B236" t="inlineStr">
        <is>
          <t>avverkningsanmälan</t>
        </is>
      </c>
      <c r="C236" t="inlineStr">
        <is>
          <t>Föryngringsavverkning</t>
        </is>
      </c>
      <c r="D236" s="1" t="n">
        <v>45607</v>
      </c>
      <c r="E236" s="1" t="n">
        <v>46218</v>
      </c>
      <c r="F236" t="inlineStr">
        <is>
          <t>JÖNKÖPINGS LÄN</t>
        </is>
      </c>
      <c r="G236" t="inlineStr">
        <is>
          <t>VAGGERYD</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17340-2024</t>
        </is>
      </c>
      <c r="B237" t="inlineStr">
        <is>
          <t>avverkningsanmälan</t>
        </is>
      </c>
      <c r="C237" t="inlineStr">
        <is>
          <t>Föryngringsavverkning</t>
        </is>
      </c>
      <c r="D237" s="1" t="n">
        <v>45414</v>
      </c>
      <c r="E237" s="1" t="n">
        <v>46218</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59180-2022</t>
        </is>
      </c>
      <c r="B238" t="inlineStr">
        <is>
          <t>avverkningsanmälan</t>
        </is>
      </c>
      <c r="C238" t="inlineStr">
        <is>
          <t>Föryngringsavverkning</t>
        </is>
      </c>
      <c r="D238" s="1" t="n">
        <v>44904</v>
      </c>
      <c r="E238" s="1" t="n">
        <v>46218</v>
      </c>
      <c r="F238" t="inlineStr">
        <is>
          <t>JÖNKÖPINGS LÄN</t>
        </is>
      </c>
      <c r="G238" t="inlineStr">
        <is>
          <t>VAGGERYD</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14418-2023</t>
        </is>
      </c>
      <c r="B239" t="inlineStr">
        <is>
          <t>avverkningsanmälan</t>
        </is>
      </c>
      <c r="C239" t="inlineStr">
        <is>
          <t>Föryngringsavverkning</t>
        </is>
      </c>
      <c r="D239" s="1" t="n">
        <v>45012</v>
      </c>
      <c r="E239" s="1" t="n">
        <v>46218</v>
      </c>
      <c r="F239" t="inlineStr">
        <is>
          <t>JÖNKÖPINGS LÄN</t>
        </is>
      </c>
      <c r="G239" t="inlineStr">
        <is>
          <t>VAGGERYD</t>
        </is>
      </c>
      <c r="I239" t="n">
        <v>6.7</v>
      </c>
      <c r="J239" t="n">
        <v>0</v>
      </c>
      <c r="K239" t="n">
        <v>0</v>
      </c>
      <c r="L239" t="n">
        <v>0</v>
      </c>
      <c r="M239" t="n">
        <v>0</v>
      </c>
      <c r="N239" t="n">
        <v>0</v>
      </c>
      <c r="O239" t="n">
        <v>0</v>
      </c>
      <c r="P239" t="n">
        <v>0</v>
      </c>
      <c r="Q239" t="n">
        <v>0</v>
      </c>
      <c r="R239" t="n">
        <v>0</v>
      </c>
      <c r="S239" t="n">
        <v>0</v>
      </c>
      <c r="T239" t="n">
        <v>0</v>
      </c>
      <c r="U239" s="2" t="inlineStr"/>
    </row>
    <row r="240" ht="15" customHeight="1">
      <c r="A240" t="inlineStr">
        <is>
          <t>A 14422-2023</t>
        </is>
      </c>
      <c r="B240" t="inlineStr">
        <is>
          <t>avverkningsanmälan</t>
        </is>
      </c>
      <c r="C240" t="inlineStr">
        <is>
          <t>Föryngringsavverkning</t>
        </is>
      </c>
      <c r="D240" s="1" t="n">
        <v>45012</v>
      </c>
      <c r="E240" s="1" t="n">
        <v>46218</v>
      </c>
      <c r="F240" t="inlineStr">
        <is>
          <t>JÖNKÖPINGS LÄN</t>
        </is>
      </c>
      <c r="G240" t="inlineStr">
        <is>
          <t>VAGGERYD</t>
        </is>
      </c>
      <c r="I240" t="n">
        <v>5</v>
      </c>
      <c r="J240" t="n">
        <v>0</v>
      </c>
      <c r="K240" t="n">
        <v>0</v>
      </c>
      <c r="L240" t="n">
        <v>0</v>
      </c>
      <c r="M240" t="n">
        <v>0</v>
      </c>
      <c r="N240" t="n">
        <v>0</v>
      </c>
      <c r="O240" t="n">
        <v>0</v>
      </c>
      <c r="P240" t="n">
        <v>0</v>
      </c>
      <c r="Q240" t="n">
        <v>0</v>
      </c>
      <c r="R240" t="n">
        <v>0</v>
      </c>
      <c r="S240" t="n">
        <v>0</v>
      </c>
      <c r="T240" t="n">
        <v>0</v>
      </c>
      <c r="U240" s="2" t="inlineStr"/>
    </row>
    <row r="241" ht="15" customHeight="1">
      <c r="A241" t="inlineStr">
        <is>
          <t>A 21410-2024</t>
        </is>
      </c>
      <c r="B241" t="inlineStr">
        <is>
          <t>avverkningsanmälan</t>
        </is>
      </c>
      <c r="C241" t="inlineStr">
        <is>
          <t>Föryngringsavverkning</t>
        </is>
      </c>
      <c r="D241" s="1" t="n">
        <v>45441</v>
      </c>
      <c r="E241" s="1" t="n">
        <v>46218</v>
      </c>
      <c r="F241" t="inlineStr">
        <is>
          <t>JÖNKÖPINGS LÄN</t>
        </is>
      </c>
      <c r="G241" t="inlineStr">
        <is>
          <t>VAGGERYD</t>
        </is>
      </c>
      <c r="I241" t="n">
        <v>9.5</v>
      </c>
      <c r="J241" t="n">
        <v>0</v>
      </c>
      <c r="K241" t="n">
        <v>0</v>
      </c>
      <c r="L241" t="n">
        <v>0</v>
      </c>
      <c r="M241" t="n">
        <v>0</v>
      </c>
      <c r="N241" t="n">
        <v>0</v>
      </c>
      <c r="O241" t="n">
        <v>0</v>
      </c>
      <c r="P241" t="n">
        <v>0</v>
      </c>
      <c r="Q241" t="n">
        <v>0</v>
      </c>
      <c r="R241" t="n">
        <v>0</v>
      </c>
      <c r="S241" t="n">
        <v>0</v>
      </c>
      <c r="T241" t="n">
        <v>0</v>
      </c>
      <c r="U241" s="2" t="inlineStr"/>
    </row>
    <row r="242" ht="15" customHeight="1">
      <c r="A242" t="inlineStr">
        <is>
          <t>A 50379-2022</t>
        </is>
      </c>
      <c r="B242" t="inlineStr">
        <is>
          <t>avverkningsanmälan</t>
        </is>
      </c>
      <c r="C242" t="inlineStr">
        <is>
          <t>Föryngringsavverkning</t>
        </is>
      </c>
      <c r="D242" s="1" t="n">
        <v>44866</v>
      </c>
      <c r="E242" s="1" t="n">
        <v>46218</v>
      </c>
      <c r="F242" t="inlineStr">
        <is>
          <t>JÖNKÖPINGS LÄN</t>
        </is>
      </c>
      <c r="G242" t="inlineStr">
        <is>
          <t>VAGGERYD</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52048-2023</t>
        </is>
      </c>
      <c r="B243" t="inlineStr">
        <is>
          <t>avverkningsanmälan</t>
        </is>
      </c>
      <c r="C243" t="inlineStr">
        <is>
          <t>Föryngringsavverkning</t>
        </is>
      </c>
      <c r="D243" s="1" t="n">
        <v>45223</v>
      </c>
      <c r="E243" s="1" t="n">
        <v>46218</v>
      </c>
      <c r="F243" t="inlineStr">
        <is>
          <t>JÖNKÖPINGS LÄN</t>
        </is>
      </c>
      <c r="G243" t="inlineStr">
        <is>
          <t>VAGGERYD</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19435-2022</t>
        </is>
      </c>
      <c r="B244" t="inlineStr">
        <is>
          <t>avverkningsanmälan</t>
        </is>
      </c>
      <c r="C244" t="inlineStr">
        <is>
          <t>Föryngringsavverkning</t>
        </is>
      </c>
      <c r="D244" s="1" t="n">
        <v>44693</v>
      </c>
      <c r="E244" s="1" t="n">
        <v>46218</v>
      </c>
      <c r="F244" t="inlineStr">
        <is>
          <t>JÖNKÖPINGS LÄN</t>
        </is>
      </c>
      <c r="G244" t="inlineStr">
        <is>
          <t>VAGGERYD</t>
        </is>
      </c>
      <c r="H244" t="inlineStr">
        <is>
          <t>Övriga statliga verk och myndigheter</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40887-2024</t>
        </is>
      </c>
      <c r="B245" t="inlineStr">
        <is>
          <t>avverkningsanmälan</t>
        </is>
      </c>
      <c r="C245" t="inlineStr">
        <is>
          <t>Avverkning för att bevara och utveckla /försöksver</t>
        </is>
      </c>
      <c r="D245" s="1" t="n">
        <v>45558</v>
      </c>
      <c r="E245" s="1" t="n">
        <v>46218</v>
      </c>
      <c r="F245" t="inlineStr">
        <is>
          <t>JÖNKÖPINGS LÄN</t>
        </is>
      </c>
      <c r="G245" t="inlineStr">
        <is>
          <t>VAGGERYD</t>
        </is>
      </c>
      <c r="H245" t="inlineStr">
        <is>
          <t>Sveaskog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16610-2025</t>
        </is>
      </c>
      <c r="B246" t="inlineStr">
        <is>
          <t>avverkningsanmälan</t>
        </is>
      </c>
      <c r="C246" t="inlineStr">
        <is>
          <t>Föryngringsavverkning</t>
        </is>
      </c>
      <c r="D246" s="1" t="n">
        <v>45753</v>
      </c>
      <c r="E246" s="1" t="n">
        <v>46218</v>
      </c>
      <c r="F246" t="inlineStr">
        <is>
          <t>JÖNKÖPINGS LÄN</t>
        </is>
      </c>
      <c r="G246" t="inlineStr">
        <is>
          <t>VAGGERYD</t>
        </is>
      </c>
      <c r="H246" t="inlineStr">
        <is>
          <t>Sveaskog</t>
        </is>
      </c>
      <c r="I246" t="n">
        <v>5.8</v>
      </c>
      <c r="J246" t="n">
        <v>0</v>
      </c>
      <c r="K246" t="n">
        <v>0</v>
      </c>
      <c r="L246" t="n">
        <v>0</v>
      </c>
      <c r="M246" t="n">
        <v>0</v>
      </c>
      <c r="N246" t="n">
        <v>0</v>
      </c>
      <c r="O246" t="n">
        <v>0</v>
      </c>
      <c r="P246" t="n">
        <v>0</v>
      </c>
      <c r="Q246" t="n">
        <v>0</v>
      </c>
      <c r="R246" t="n">
        <v>0</v>
      </c>
      <c r="S246" t="n">
        <v>0</v>
      </c>
      <c r="T246" t="n">
        <v>0</v>
      </c>
      <c r="U246" s="2" t="inlineStr"/>
    </row>
    <row r="247" ht="15" customHeight="1">
      <c r="A247" t="inlineStr">
        <is>
          <t>A 23270-2025</t>
        </is>
      </c>
      <c r="B247" t="inlineStr">
        <is>
          <t>avverkningsanmälan</t>
        </is>
      </c>
      <c r="C247" t="inlineStr">
        <is>
          <t>Avverkning för att bevara och utveckla /försöksver</t>
        </is>
      </c>
      <c r="D247" s="1" t="n">
        <v>45791</v>
      </c>
      <c r="E247" s="1" t="n">
        <v>46218</v>
      </c>
      <c r="F247" t="inlineStr">
        <is>
          <t>JÖNKÖPINGS LÄN</t>
        </is>
      </c>
      <c r="G247" t="inlineStr">
        <is>
          <t>VAGGERYD</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40691-2023</t>
        </is>
      </c>
      <c r="B248" t="inlineStr">
        <is>
          <t>avverkningsanmälan</t>
        </is>
      </c>
      <c r="C248" t="inlineStr">
        <is>
          <t>Föryngringsavverkning</t>
        </is>
      </c>
      <c r="D248" s="1" t="n">
        <v>45169</v>
      </c>
      <c r="E248" s="1" t="n">
        <v>46218</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53186-2023</t>
        </is>
      </c>
      <c r="B249" t="inlineStr">
        <is>
          <t>avverkningsanmälan</t>
        </is>
      </c>
      <c r="C249" t="inlineStr">
        <is>
          <t>Föryngringsavverkning</t>
        </is>
      </c>
      <c r="D249" s="1" t="n">
        <v>45229</v>
      </c>
      <c r="E249" s="1" t="n">
        <v>46218</v>
      </c>
      <c r="F249" t="inlineStr">
        <is>
          <t>JÖNKÖPINGS LÄN</t>
        </is>
      </c>
      <c r="G249" t="inlineStr">
        <is>
          <t>VAGGERYD</t>
        </is>
      </c>
      <c r="I249" t="n">
        <v>7.7</v>
      </c>
      <c r="J249" t="n">
        <v>0</v>
      </c>
      <c r="K249" t="n">
        <v>0</v>
      </c>
      <c r="L249" t="n">
        <v>0</v>
      </c>
      <c r="M249" t="n">
        <v>0</v>
      </c>
      <c r="N249" t="n">
        <v>0</v>
      </c>
      <c r="O249" t="n">
        <v>0</v>
      </c>
      <c r="P249" t="n">
        <v>0</v>
      </c>
      <c r="Q249" t="n">
        <v>0</v>
      </c>
      <c r="R249" t="n">
        <v>0</v>
      </c>
      <c r="S249" t="n">
        <v>0</v>
      </c>
      <c r="T249" t="n">
        <v>0</v>
      </c>
      <c r="U249" s="2" t="inlineStr"/>
    </row>
    <row r="250" ht="15" customHeight="1">
      <c r="A250" t="inlineStr">
        <is>
          <t>A 54747-2023</t>
        </is>
      </c>
      <c r="B250" t="inlineStr">
        <is>
          <t>avverkningsanmälan</t>
        </is>
      </c>
      <c r="C250" t="inlineStr">
        <is>
          <t>Föryngringsavverkning</t>
        </is>
      </c>
      <c r="D250" s="1" t="n">
        <v>45236</v>
      </c>
      <c r="E250" s="1" t="n">
        <v>46218</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18250-2023</t>
        </is>
      </c>
      <c r="B251" t="inlineStr">
        <is>
          <t>avverkningsanmälan</t>
        </is>
      </c>
      <c r="C251" t="inlineStr">
        <is>
          <t>Föryngringsavverkning</t>
        </is>
      </c>
      <c r="D251" s="1" t="n">
        <v>45040</v>
      </c>
      <c r="E251" s="1" t="n">
        <v>46218</v>
      </c>
      <c r="F251" t="inlineStr">
        <is>
          <t>JÖNKÖPINGS LÄN</t>
        </is>
      </c>
      <c r="G251" t="inlineStr">
        <is>
          <t>VAGGERYD</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6846-2024</t>
        </is>
      </c>
      <c r="B252" t="inlineStr">
        <is>
          <t>avverkningsanmälan</t>
        </is>
      </c>
      <c r="C252" t="inlineStr">
        <is>
          <t>Föryngringsavverkning</t>
        </is>
      </c>
      <c r="D252" s="1" t="n">
        <v>45342</v>
      </c>
      <c r="E252" s="1" t="n">
        <v>46218</v>
      </c>
      <c r="F252" t="inlineStr">
        <is>
          <t>JÖNKÖPINGS LÄN</t>
        </is>
      </c>
      <c r="G252" t="inlineStr">
        <is>
          <t>VAGGERYD</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58876-2021</t>
        </is>
      </c>
      <c r="B253" t="inlineStr">
        <is>
          <t>avverkningsanmälan</t>
        </is>
      </c>
      <c r="C253" t="inlineStr">
        <is>
          <t>Föryngringsavverkning</t>
        </is>
      </c>
      <c r="D253" s="1" t="n">
        <v>44489</v>
      </c>
      <c r="E253" s="1" t="n">
        <v>46218</v>
      </c>
      <c r="F253" t="inlineStr">
        <is>
          <t>JÖNKÖPINGS LÄN</t>
        </is>
      </c>
      <c r="G253" t="inlineStr">
        <is>
          <t>VAGGERYD</t>
        </is>
      </c>
      <c r="I253" t="n">
        <v>7.8</v>
      </c>
      <c r="J253" t="n">
        <v>0</v>
      </c>
      <c r="K253" t="n">
        <v>0</v>
      </c>
      <c r="L253" t="n">
        <v>0</v>
      </c>
      <c r="M253" t="n">
        <v>0</v>
      </c>
      <c r="N253" t="n">
        <v>0</v>
      </c>
      <c r="O253" t="n">
        <v>0</v>
      </c>
      <c r="P253" t="n">
        <v>0</v>
      </c>
      <c r="Q253" t="n">
        <v>0</v>
      </c>
      <c r="R253" t="n">
        <v>0</v>
      </c>
      <c r="S253" t="n">
        <v>0</v>
      </c>
      <c r="T253" t="n">
        <v>0</v>
      </c>
      <c r="U253" s="2" t="inlineStr"/>
    </row>
    <row r="254" ht="15" customHeight="1">
      <c r="A254" t="inlineStr">
        <is>
          <t>A 49128-2021</t>
        </is>
      </c>
      <c r="B254" t="inlineStr">
        <is>
          <t>avverkningsanmälan</t>
        </is>
      </c>
      <c r="C254" t="inlineStr">
        <is>
          <t>Föryngringsavverkning</t>
        </is>
      </c>
      <c r="D254" s="1" t="n">
        <v>44453</v>
      </c>
      <c r="E254" s="1" t="n">
        <v>46218</v>
      </c>
      <c r="F254" t="inlineStr">
        <is>
          <t>JÖNKÖPINGS LÄN</t>
        </is>
      </c>
      <c r="G254" t="inlineStr">
        <is>
          <t>VAGGERYD</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22295-2023</t>
        </is>
      </c>
      <c r="B255" t="inlineStr">
        <is>
          <t>avverkningsanmälan</t>
        </is>
      </c>
      <c r="C255" t="inlineStr">
        <is>
          <t>Föryngringsavverkning</t>
        </is>
      </c>
      <c r="D255" s="1" t="n">
        <v>45070</v>
      </c>
      <c r="E255" s="1" t="n">
        <v>46218</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23688-2023</t>
        </is>
      </c>
      <c r="B256" t="inlineStr">
        <is>
          <t>avverkningsanmälan</t>
        </is>
      </c>
      <c r="C256" t="inlineStr">
        <is>
          <t>Föryngringsavverkning</t>
        </is>
      </c>
      <c r="D256" s="1" t="n">
        <v>45077</v>
      </c>
      <c r="E256" s="1" t="n">
        <v>46218</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s="2" t="inlineStr"/>
    </row>
    <row r="257" ht="15" customHeight="1">
      <c r="A257" t="inlineStr">
        <is>
          <t>A 40343-2023</t>
        </is>
      </c>
      <c r="B257" t="inlineStr">
        <is>
          <t>avverkningsanmälan</t>
        </is>
      </c>
      <c r="C257" t="inlineStr">
        <is>
          <t>Föryngringsavverkning</t>
        </is>
      </c>
      <c r="D257" s="1" t="n">
        <v>45169</v>
      </c>
      <c r="E257" s="1" t="n">
        <v>46218</v>
      </c>
      <c r="F257" t="inlineStr">
        <is>
          <t>JÖNKÖPINGS LÄN</t>
        </is>
      </c>
      <c r="G257" t="inlineStr">
        <is>
          <t>VAGGERYD</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61961-2024</t>
        </is>
      </c>
      <c r="B258" t="inlineStr">
        <is>
          <t>avverkningsanmälan</t>
        </is>
      </c>
      <c r="C258" t="inlineStr">
        <is>
          <t>Föryngringsavverkning</t>
        </is>
      </c>
      <c r="D258" s="1" t="n">
        <v>45653</v>
      </c>
      <c r="E258" s="1" t="n">
        <v>46218</v>
      </c>
      <c r="F258" t="inlineStr">
        <is>
          <t>JÖNKÖPINGS LÄN</t>
        </is>
      </c>
      <c r="G258" t="inlineStr">
        <is>
          <t>VAGGERYD</t>
        </is>
      </c>
      <c r="H258" t="inlineStr">
        <is>
          <t>Sveaskog</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5803-2025</t>
        </is>
      </c>
      <c r="B259" t="inlineStr">
        <is>
          <t>avverkningsanmälan</t>
        </is>
      </c>
      <c r="C259" t="inlineStr">
        <is>
          <t>Föryngringsavverkning</t>
        </is>
      </c>
      <c r="D259" s="1" t="n">
        <v>45694</v>
      </c>
      <c r="E259" s="1" t="n">
        <v>46218</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s="2" t="inlineStr"/>
    </row>
    <row r="260" ht="15" customHeight="1">
      <c r="A260" t="inlineStr">
        <is>
          <t>A 71173-2021</t>
        </is>
      </c>
      <c r="B260" t="inlineStr">
        <is>
          <t>avverkningsanmälan</t>
        </is>
      </c>
      <c r="C260" t="inlineStr">
        <is>
          <t>Föryngringsavverkning</t>
        </is>
      </c>
      <c r="D260" s="1" t="n">
        <v>44539</v>
      </c>
      <c r="E260" s="1" t="n">
        <v>46218</v>
      </c>
      <c r="F260" t="inlineStr">
        <is>
          <t>JÖNKÖPINGS LÄN</t>
        </is>
      </c>
      <c r="G260" t="inlineStr">
        <is>
          <t>VAGGERYD</t>
        </is>
      </c>
      <c r="H260" t="inlineStr">
        <is>
          <t>Sveaskog</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71182-2021</t>
        </is>
      </c>
      <c r="B261" t="inlineStr">
        <is>
          <t>avverkningsanmälan</t>
        </is>
      </c>
      <c r="C261" t="inlineStr">
        <is>
          <t>Föryngringsavverkning</t>
        </is>
      </c>
      <c r="D261" s="1" t="n">
        <v>44539</v>
      </c>
      <c r="E261" s="1" t="n">
        <v>46218</v>
      </c>
      <c r="F261" t="inlineStr">
        <is>
          <t>JÖNKÖPINGS LÄN</t>
        </is>
      </c>
      <c r="G261" t="inlineStr">
        <is>
          <t>VAGGERYD</t>
        </is>
      </c>
      <c r="H261" t="inlineStr">
        <is>
          <t>Sveaskog</t>
        </is>
      </c>
      <c r="I261" t="n">
        <v>4.2</v>
      </c>
      <c r="J261" t="n">
        <v>0</v>
      </c>
      <c r="K261" t="n">
        <v>0</v>
      </c>
      <c r="L261" t="n">
        <v>0</v>
      </c>
      <c r="M261" t="n">
        <v>0</v>
      </c>
      <c r="N261" t="n">
        <v>0</v>
      </c>
      <c r="O261" t="n">
        <v>0</v>
      </c>
      <c r="P261" t="n">
        <v>0</v>
      </c>
      <c r="Q261" t="n">
        <v>0</v>
      </c>
      <c r="R261" t="n">
        <v>0</v>
      </c>
      <c r="S261" t="n">
        <v>0</v>
      </c>
      <c r="T261" t="n">
        <v>0</v>
      </c>
      <c r="U261" s="2" t="inlineStr"/>
    </row>
    <row r="262" ht="15" customHeight="1">
      <c r="A262" t="inlineStr">
        <is>
          <t>A 60202-2024</t>
        </is>
      </c>
      <c r="B262" t="inlineStr">
        <is>
          <t>avverkningsanmälan</t>
        </is>
      </c>
      <c r="C262" t="inlineStr">
        <is>
          <t>Föryngringsavverkning</t>
        </is>
      </c>
      <c r="D262" s="1" t="n">
        <v>45642</v>
      </c>
      <c r="E262" s="1" t="n">
        <v>46218</v>
      </c>
      <c r="F262" t="inlineStr">
        <is>
          <t>JÖNKÖPINGS LÄN</t>
        </is>
      </c>
      <c r="G262" t="inlineStr">
        <is>
          <t>VAGGERYD</t>
        </is>
      </c>
      <c r="I262" t="n">
        <v>19.7</v>
      </c>
      <c r="J262" t="n">
        <v>0</v>
      </c>
      <c r="K262" t="n">
        <v>0</v>
      </c>
      <c r="L262" t="n">
        <v>0</v>
      </c>
      <c r="M262" t="n">
        <v>0</v>
      </c>
      <c r="N262" t="n">
        <v>0</v>
      </c>
      <c r="O262" t="n">
        <v>0</v>
      </c>
      <c r="P262" t="n">
        <v>0</v>
      </c>
      <c r="Q262" t="n">
        <v>0</v>
      </c>
      <c r="R262" t="n">
        <v>0</v>
      </c>
      <c r="S262" t="n">
        <v>0</v>
      </c>
      <c r="T262" t="n">
        <v>0</v>
      </c>
      <c r="U262" s="2" t="inlineStr"/>
    </row>
    <row r="263" ht="15" customHeight="1">
      <c r="A263" t="inlineStr">
        <is>
          <t>A 25400-2025</t>
        </is>
      </c>
      <c r="B263" t="inlineStr">
        <is>
          <t>avverkningsanmälan</t>
        </is>
      </c>
      <c r="C263" t="inlineStr">
        <is>
          <t>Föryngringsavverkning</t>
        </is>
      </c>
      <c r="D263" s="1" t="n">
        <v>45799</v>
      </c>
      <c r="E263" s="1" t="n">
        <v>46218</v>
      </c>
      <c r="F263" t="inlineStr">
        <is>
          <t>JÖNKÖPINGS LÄN</t>
        </is>
      </c>
      <c r="G263" t="inlineStr">
        <is>
          <t>VAGGERYD</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9103-2024</t>
        </is>
      </c>
      <c r="B264" t="inlineStr">
        <is>
          <t>avverkningsanmälan</t>
        </is>
      </c>
      <c r="C264" t="inlineStr">
        <is>
          <t>Avverkning för annat ändamål</t>
        </is>
      </c>
      <c r="D264" s="1" t="n">
        <v>45357</v>
      </c>
      <c r="E264" s="1" t="n">
        <v>46218</v>
      </c>
      <c r="F264" t="inlineStr">
        <is>
          <t>JÖNKÖPINGS LÄN</t>
        </is>
      </c>
      <c r="G264" t="inlineStr">
        <is>
          <t>VAGGERYD</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19106-2023</t>
        </is>
      </c>
      <c r="B265" t="inlineStr">
        <is>
          <t>avverkningsanmälan</t>
        </is>
      </c>
      <c r="C265" t="inlineStr">
        <is>
          <t>Föryngringsavverkning</t>
        </is>
      </c>
      <c r="D265" s="1" t="n">
        <v>45048</v>
      </c>
      <c r="E265" s="1" t="n">
        <v>46218</v>
      </c>
      <c r="F265" t="inlineStr">
        <is>
          <t>JÖNKÖPINGS LÄN</t>
        </is>
      </c>
      <c r="G265" t="inlineStr">
        <is>
          <t>VAGGERYD</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47873-2021</t>
        </is>
      </c>
      <c r="B266" t="inlineStr">
        <is>
          <t>avverkningsanmälan</t>
        </is>
      </c>
      <c r="C266" t="inlineStr">
        <is>
          <t>Föryngringsavverkning</t>
        </is>
      </c>
      <c r="D266" s="1" t="n">
        <v>44448</v>
      </c>
      <c r="E266" s="1" t="n">
        <v>46218</v>
      </c>
      <c r="F266" t="inlineStr">
        <is>
          <t>JÖNKÖPINGS LÄN</t>
        </is>
      </c>
      <c r="G266" t="inlineStr">
        <is>
          <t>VAGGERYD</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1938-2025</t>
        </is>
      </c>
      <c r="B267" t="inlineStr">
        <is>
          <t>avverkningsanmälan</t>
        </is>
      </c>
      <c r="C267" t="inlineStr">
        <is>
          <t>Föryngringsavverkning</t>
        </is>
      </c>
      <c r="D267" s="1" t="n">
        <v>45671</v>
      </c>
      <c r="E267" s="1" t="n">
        <v>46218</v>
      </c>
      <c r="F267" t="inlineStr">
        <is>
          <t>JÖNKÖPINGS LÄN</t>
        </is>
      </c>
      <c r="G267" t="inlineStr">
        <is>
          <t>VAGGERYD</t>
        </is>
      </c>
      <c r="I267" t="n">
        <v>6.7</v>
      </c>
      <c r="J267" t="n">
        <v>0</v>
      </c>
      <c r="K267" t="n">
        <v>0</v>
      </c>
      <c r="L267" t="n">
        <v>0</v>
      </c>
      <c r="M267" t="n">
        <v>0</v>
      </c>
      <c r="N267" t="n">
        <v>0</v>
      </c>
      <c r="O267" t="n">
        <v>0</v>
      </c>
      <c r="P267" t="n">
        <v>0</v>
      </c>
      <c r="Q267" t="n">
        <v>0</v>
      </c>
      <c r="R267" t="n">
        <v>0</v>
      </c>
      <c r="S267" t="n">
        <v>0</v>
      </c>
      <c r="T267" t="n">
        <v>0</v>
      </c>
      <c r="U267" s="2" t="inlineStr"/>
    </row>
    <row r="268" ht="15" customHeight="1">
      <c r="A268" t="inlineStr">
        <is>
          <t>A 25120-2025</t>
        </is>
      </c>
      <c r="B268" t="inlineStr">
        <is>
          <t>avverkningsanmälan</t>
        </is>
      </c>
      <c r="C268" t="inlineStr">
        <is>
          <t>Föryngringsavverkning</t>
        </is>
      </c>
      <c r="D268" s="1" t="n">
        <v>45798</v>
      </c>
      <c r="E268" s="1" t="n">
        <v>46218</v>
      </c>
      <c r="F268" t="inlineStr">
        <is>
          <t>JÖNKÖPINGS LÄN</t>
        </is>
      </c>
      <c r="G268" t="inlineStr">
        <is>
          <t>VAGGERYD</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53072-2021</t>
        </is>
      </c>
      <c r="B269" t="inlineStr">
        <is>
          <t>avverkningsanmälan</t>
        </is>
      </c>
      <c r="C269" t="inlineStr">
        <is>
          <t>Föryngringsavverkning</t>
        </is>
      </c>
      <c r="D269" s="1" t="n">
        <v>44467</v>
      </c>
      <c r="E269" s="1" t="n">
        <v>46218</v>
      </c>
      <c r="F269" t="inlineStr">
        <is>
          <t>JÖNKÖPINGS LÄN</t>
        </is>
      </c>
      <c r="G269" t="inlineStr">
        <is>
          <t>VAGGERYD</t>
        </is>
      </c>
      <c r="I269" t="n">
        <v>7.7</v>
      </c>
      <c r="J269" t="n">
        <v>0</v>
      </c>
      <c r="K269" t="n">
        <v>0</v>
      </c>
      <c r="L269" t="n">
        <v>0</v>
      </c>
      <c r="M269" t="n">
        <v>0</v>
      </c>
      <c r="N269" t="n">
        <v>0</v>
      </c>
      <c r="O269" t="n">
        <v>0</v>
      </c>
      <c r="P269" t="n">
        <v>0</v>
      </c>
      <c r="Q269" t="n">
        <v>0</v>
      </c>
      <c r="R269" t="n">
        <v>0</v>
      </c>
      <c r="S269" t="n">
        <v>0</v>
      </c>
      <c r="T269" t="n">
        <v>0</v>
      </c>
      <c r="U269" s="2" t="inlineStr"/>
    </row>
    <row r="270" ht="15" customHeight="1">
      <c r="A270" t="inlineStr">
        <is>
          <t>A 25625-2024</t>
        </is>
      </c>
      <c r="B270" t="inlineStr">
        <is>
          <t>avverkningsanmälan</t>
        </is>
      </c>
      <c r="C270" t="inlineStr">
        <is>
          <t>Föryngringsavverkning</t>
        </is>
      </c>
      <c r="D270" s="1" t="n">
        <v>45463</v>
      </c>
      <c r="E270" s="1" t="n">
        <v>46218</v>
      </c>
      <c r="F270" t="inlineStr">
        <is>
          <t>JÖNKÖPINGS LÄN</t>
        </is>
      </c>
      <c r="G270" t="inlineStr">
        <is>
          <t>VAGGERYD</t>
        </is>
      </c>
      <c r="H270" t="inlineStr">
        <is>
          <t>Sveaskog</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19117-2023</t>
        </is>
      </c>
      <c r="B271" t="inlineStr">
        <is>
          <t>avverkningsanmälan</t>
        </is>
      </c>
      <c r="C271" t="inlineStr">
        <is>
          <t>Föryngringsavverkning</t>
        </is>
      </c>
      <c r="D271" s="1" t="n">
        <v>45048</v>
      </c>
      <c r="E271" s="1" t="n">
        <v>46218</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s="2" t="inlineStr"/>
    </row>
    <row r="272" ht="15" customHeight="1">
      <c r="A272" t="inlineStr">
        <is>
          <t>A 16096-2025</t>
        </is>
      </c>
      <c r="B272" t="inlineStr">
        <is>
          <t>avverkningsanmälan</t>
        </is>
      </c>
      <c r="C272" t="inlineStr">
        <is>
          <t>Föryngringsavverkning</t>
        </is>
      </c>
      <c r="D272" s="1" t="n">
        <v>45749</v>
      </c>
      <c r="E272" s="1" t="n">
        <v>46218</v>
      </c>
      <c r="F272" t="inlineStr">
        <is>
          <t>JÖNKÖPINGS LÄN</t>
        </is>
      </c>
      <c r="G272" t="inlineStr">
        <is>
          <t>VAGGERYD</t>
        </is>
      </c>
      <c r="H272" t="inlineStr">
        <is>
          <t>Sveaskog</t>
        </is>
      </c>
      <c r="I272" t="n">
        <v>7.8</v>
      </c>
      <c r="J272" t="n">
        <v>0</v>
      </c>
      <c r="K272" t="n">
        <v>0</v>
      </c>
      <c r="L272" t="n">
        <v>0</v>
      </c>
      <c r="M272" t="n">
        <v>0</v>
      </c>
      <c r="N272" t="n">
        <v>0</v>
      </c>
      <c r="O272" t="n">
        <v>0</v>
      </c>
      <c r="P272" t="n">
        <v>0</v>
      </c>
      <c r="Q272" t="n">
        <v>0</v>
      </c>
      <c r="R272" t="n">
        <v>0</v>
      </c>
      <c r="S272" t="n">
        <v>0</v>
      </c>
      <c r="T272" t="n">
        <v>0</v>
      </c>
      <c r="U272" s="2" t="inlineStr"/>
    </row>
    <row r="273" ht="15" customHeight="1">
      <c r="A273" t="inlineStr">
        <is>
          <t>A 17116-2025</t>
        </is>
      </c>
      <c r="B273" t="inlineStr">
        <is>
          <t>avverkningsanmälan</t>
        </is>
      </c>
      <c r="C273" t="inlineStr">
        <is>
          <t>Föryngringsavverkning</t>
        </is>
      </c>
      <c r="D273" s="1" t="n">
        <v>45755</v>
      </c>
      <c r="E273" s="1" t="n">
        <v>46218</v>
      </c>
      <c r="F273" t="inlineStr">
        <is>
          <t>JÖNKÖPINGS LÄN</t>
        </is>
      </c>
      <c r="G273" t="inlineStr">
        <is>
          <t>VAGGERYD</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10643-2023</t>
        </is>
      </c>
      <c r="B274" t="inlineStr">
        <is>
          <t>avverkningsanmälan</t>
        </is>
      </c>
      <c r="C274" t="inlineStr">
        <is>
          <t>Föryngringsavverkning</t>
        </is>
      </c>
      <c r="D274" s="1" t="n">
        <v>44988</v>
      </c>
      <c r="E274" s="1" t="n">
        <v>46218</v>
      </c>
      <c r="F274" t="inlineStr">
        <is>
          <t>JÖNKÖPINGS LÄN</t>
        </is>
      </c>
      <c r="G274" t="inlineStr">
        <is>
          <t>VAGGERYD</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3221-2023</t>
        </is>
      </c>
      <c r="B275" t="inlineStr">
        <is>
          <t>avverkningsanmälan</t>
        </is>
      </c>
      <c r="C275" t="inlineStr">
        <is>
          <t>Avverkning för annat ändamål</t>
        </is>
      </c>
      <c r="D275" s="1" t="n">
        <v>44946</v>
      </c>
      <c r="E275" s="1" t="n">
        <v>46218</v>
      </c>
      <c r="F275" t="inlineStr">
        <is>
          <t>JÖNKÖPINGS LÄN</t>
        </is>
      </c>
      <c r="G275" t="inlineStr">
        <is>
          <t>VAGGERYD</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27214-2023</t>
        </is>
      </c>
      <c r="B276" t="inlineStr">
        <is>
          <t>avverkningsanmälan</t>
        </is>
      </c>
      <c r="C276" t="inlineStr">
        <is>
          <t>Föryngringsavverkning</t>
        </is>
      </c>
      <c r="D276" s="1" t="n">
        <v>45096</v>
      </c>
      <c r="E276" s="1" t="n">
        <v>46218</v>
      </c>
      <c r="F276" t="inlineStr">
        <is>
          <t>JÖNKÖPINGS LÄN</t>
        </is>
      </c>
      <c r="G276" t="inlineStr">
        <is>
          <t>VAGGERYD</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40532-2021</t>
        </is>
      </c>
      <c r="B277" t="inlineStr">
        <is>
          <t>avverkningsanmälan</t>
        </is>
      </c>
      <c r="C277" t="inlineStr">
        <is>
          <t>Föryngringsavverkning</t>
        </is>
      </c>
      <c r="D277" s="1" t="n">
        <v>44420</v>
      </c>
      <c r="E277" s="1" t="n">
        <v>46218</v>
      </c>
      <c r="F277" t="inlineStr">
        <is>
          <t>JÖNKÖPINGS LÄN</t>
        </is>
      </c>
      <c r="G277" t="inlineStr">
        <is>
          <t>VAGGERYD</t>
        </is>
      </c>
      <c r="I277" t="n">
        <v>6.2</v>
      </c>
      <c r="J277" t="n">
        <v>0</v>
      </c>
      <c r="K277" t="n">
        <v>0</v>
      </c>
      <c r="L277" t="n">
        <v>0</v>
      </c>
      <c r="M277" t="n">
        <v>0</v>
      </c>
      <c r="N277" t="n">
        <v>0</v>
      </c>
      <c r="O277" t="n">
        <v>0</v>
      </c>
      <c r="P277" t="n">
        <v>0</v>
      </c>
      <c r="Q277" t="n">
        <v>0</v>
      </c>
      <c r="R277" t="n">
        <v>0</v>
      </c>
      <c r="S277" t="n">
        <v>0</v>
      </c>
      <c r="T277" t="n">
        <v>0</v>
      </c>
      <c r="U277" s="2" t="inlineStr"/>
    </row>
    <row r="278" ht="15" customHeight="1">
      <c r="A278" t="inlineStr">
        <is>
          <t>A 63690-2023</t>
        </is>
      </c>
      <c r="B278" t="inlineStr">
        <is>
          <t>avverkningsanmälan</t>
        </is>
      </c>
      <c r="C278" t="inlineStr">
        <is>
          <t>Föryngringsavverkning</t>
        </is>
      </c>
      <c r="D278" s="1" t="n">
        <v>45275</v>
      </c>
      <c r="E278" s="1" t="n">
        <v>46218</v>
      </c>
      <c r="F278" t="inlineStr">
        <is>
          <t>JÖNKÖPINGS LÄN</t>
        </is>
      </c>
      <c r="G278" t="inlineStr">
        <is>
          <t>VAGGERYD</t>
        </is>
      </c>
      <c r="I278" t="n">
        <v>2.3</v>
      </c>
      <c r="J278" t="n">
        <v>0</v>
      </c>
      <c r="K278" t="n">
        <v>0</v>
      </c>
      <c r="L278" t="n">
        <v>0</v>
      </c>
      <c r="M278" t="n">
        <v>0</v>
      </c>
      <c r="N278" t="n">
        <v>0</v>
      </c>
      <c r="O278" t="n">
        <v>0</v>
      </c>
      <c r="P278" t="n">
        <v>0</v>
      </c>
      <c r="Q278" t="n">
        <v>0</v>
      </c>
      <c r="R278" t="n">
        <v>0</v>
      </c>
      <c r="S278" t="n">
        <v>0</v>
      </c>
      <c r="T278" t="n">
        <v>0</v>
      </c>
      <c r="U278" s="2" t="inlineStr"/>
    </row>
    <row r="279" ht="15" customHeight="1">
      <c r="A279" t="inlineStr">
        <is>
          <t>A 11588-2024</t>
        </is>
      </c>
      <c r="B279" t="inlineStr">
        <is>
          <t>avverkningsanmälan</t>
        </is>
      </c>
      <c r="C279" t="inlineStr">
        <is>
          <t>Föryngringsavverkning</t>
        </is>
      </c>
      <c r="D279" s="1" t="n">
        <v>45373</v>
      </c>
      <c r="E279" s="1" t="n">
        <v>46218</v>
      </c>
      <c r="F279" t="inlineStr">
        <is>
          <t>JÖNKÖPINGS LÄN</t>
        </is>
      </c>
      <c r="G279" t="inlineStr">
        <is>
          <t>VAGGERYD</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44002-2023</t>
        </is>
      </c>
      <c r="B280" t="inlineStr">
        <is>
          <t>avverkningsanmälan</t>
        </is>
      </c>
      <c r="C280" t="inlineStr">
        <is>
          <t>Avverkning för annat ändamål</t>
        </is>
      </c>
      <c r="D280" s="1" t="n">
        <v>45188</v>
      </c>
      <c r="E280" s="1" t="n">
        <v>46218</v>
      </c>
      <c r="F280" t="inlineStr">
        <is>
          <t>JÖNKÖPINGS LÄN</t>
        </is>
      </c>
      <c r="G280" t="inlineStr">
        <is>
          <t>VAGGERYD</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36547-2023</t>
        </is>
      </c>
      <c r="B281" t="inlineStr">
        <is>
          <t>avverkningsanmälan</t>
        </is>
      </c>
      <c r="C281" t="inlineStr">
        <is>
          <t>Avverkning för annat ändamål</t>
        </is>
      </c>
      <c r="D281" s="1" t="n">
        <v>45152</v>
      </c>
      <c r="E281" s="1" t="n">
        <v>46218</v>
      </c>
      <c r="F281" t="inlineStr">
        <is>
          <t>JÖNKÖPINGS LÄN</t>
        </is>
      </c>
      <c r="G281" t="inlineStr">
        <is>
          <t>VAGGERYD</t>
        </is>
      </c>
      <c r="I281" t="n">
        <v>2.2</v>
      </c>
      <c r="J281" t="n">
        <v>0</v>
      </c>
      <c r="K281" t="n">
        <v>0</v>
      </c>
      <c r="L281" t="n">
        <v>0</v>
      </c>
      <c r="M281" t="n">
        <v>0</v>
      </c>
      <c r="N281" t="n">
        <v>0</v>
      </c>
      <c r="O281" t="n">
        <v>0</v>
      </c>
      <c r="P281" t="n">
        <v>0</v>
      </c>
      <c r="Q281" t="n">
        <v>0</v>
      </c>
      <c r="R281" t="n">
        <v>0</v>
      </c>
      <c r="S281" t="n">
        <v>0</v>
      </c>
      <c r="T281" t="n">
        <v>0</v>
      </c>
      <c r="U281" s="2" t="inlineStr"/>
    </row>
    <row r="282" ht="15" customHeight="1">
      <c r="A282" t="inlineStr">
        <is>
          <t>A 36555-2023</t>
        </is>
      </c>
      <c r="B282" t="inlineStr">
        <is>
          <t>avverkningsanmälan</t>
        </is>
      </c>
      <c r="C282" t="inlineStr">
        <is>
          <t>Avverkning för annat ändamål</t>
        </is>
      </c>
      <c r="D282" s="1" t="n">
        <v>45152</v>
      </c>
      <c r="E282" s="1" t="n">
        <v>46218</v>
      </c>
      <c r="F282" t="inlineStr">
        <is>
          <t>JÖNKÖPINGS LÄN</t>
        </is>
      </c>
      <c r="G282" t="inlineStr">
        <is>
          <t>VAGGERYD</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223-2023</t>
        </is>
      </c>
      <c r="B283" t="inlineStr">
        <is>
          <t>avverkningsanmälan</t>
        </is>
      </c>
      <c r="C283" t="inlineStr">
        <is>
          <t>Föryngringsavverkning</t>
        </is>
      </c>
      <c r="D283" s="1" t="n">
        <v>44928</v>
      </c>
      <c r="E283" s="1" t="n">
        <v>46218</v>
      </c>
      <c r="F283" t="inlineStr">
        <is>
          <t>JÖNKÖPINGS LÄN</t>
        </is>
      </c>
      <c r="G283" t="inlineStr">
        <is>
          <t>VAGGERYD</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61903-2024</t>
        </is>
      </c>
      <c r="B284" t="inlineStr">
        <is>
          <t>avverkningsanmälan</t>
        </is>
      </c>
      <c r="C284" t="inlineStr">
        <is>
          <t>Föryngringsavverkning</t>
        </is>
      </c>
      <c r="D284" s="1" t="n">
        <v>45653</v>
      </c>
      <c r="E284" s="1" t="n">
        <v>46218</v>
      </c>
      <c r="F284" t="inlineStr">
        <is>
          <t>JÖNKÖPINGS LÄN</t>
        </is>
      </c>
      <c r="G284" t="inlineStr">
        <is>
          <t>VAGGERYD</t>
        </is>
      </c>
      <c r="I284" t="n">
        <v>6.4</v>
      </c>
      <c r="J284" t="n">
        <v>0</v>
      </c>
      <c r="K284" t="n">
        <v>0</v>
      </c>
      <c r="L284" t="n">
        <v>0</v>
      </c>
      <c r="M284" t="n">
        <v>0</v>
      </c>
      <c r="N284" t="n">
        <v>0</v>
      </c>
      <c r="O284" t="n">
        <v>0</v>
      </c>
      <c r="P284" t="n">
        <v>0</v>
      </c>
      <c r="Q284" t="n">
        <v>0</v>
      </c>
      <c r="R284" t="n">
        <v>0</v>
      </c>
      <c r="S284" t="n">
        <v>0</v>
      </c>
      <c r="T284" t="n">
        <v>0</v>
      </c>
      <c r="U284" s="2" t="inlineStr"/>
    </row>
    <row r="285" ht="15" customHeight="1">
      <c r="A285" t="inlineStr">
        <is>
          <t>A 57993-2023</t>
        </is>
      </c>
      <c r="B285" t="inlineStr">
        <is>
          <t>avverkningsanmälan</t>
        </is>
      </c>
      <c r="C285" t="inlineStr">
        <is>
          <t>Föryngringsavverkning</t>
        </is>
      </c>
      <c r="D285" s="1" t="n">
        <v>45247</v>
      </c>
      <c r="E285" s="1" t="n">
        <v>46218</v>
      </c>
      <c r="F285" t="inlineStr">
        <is>
          <t>JÖNKÖPINGS LÄN</t>
        </is>
      </c>
      <c r="G285" t="inlineStr">
        <is>
          <t>VAGGERYD</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26874-2025</t>
        </is>
      </c>
      <c r="B286" t="inlineStr">
        <is>
          <t>avverkningsanmälan</t>
        </is>
      </c>
      <c r="C286" t="inlineStr">
        <is>
          <t>Föryngringsavverkning</t>
        </is>
      </c>
      <c r="D286" s="1" t="n">
        <v>45810</v>
      </c>
      <c r="E286" s="1" t="n">
        <v>46218</v>
      </c>
      <c r="F286" t="inlineStr">
        <is>
          <t>JÖNKÖPINGS LÄN</t>
        </is>
      </c>
      <c r="G286" t="inlineStr">
        <is>
          <t>VAGGERYD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27427-2023</t>
        </is>
      </c>
      <c r="B287" t="inlineStr">
        <is>
          <t>avverkningsanmälan</t>
        </is>
      </c>
      <c r="C287" t="inlineStr">
        <is>
          <t>Avverkning för annat ändamål</t>
        </is>
      </c>
      <c r="D287" s="1" t="n">
        <v>45097</v>
      </c>
      <c r="E287" s="1" t="n">
        <v>46218</v>
      </c>
      <c r="F287" t="inlineStr">
        <is>
          <t>JÖNKÖPINGS LÄN</t>
        </is>
      </c>
      <c r="G287" t="inlineStr">
        <is>
          <t>VAGGERYD</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58617-2024</t>
        </is>
      </c>
      <c r="B288" t="inlineStr">
        <is>
          <t>avverkningsanmälan</t>
        </is>
      </c>
      <c r="C288" t="inlineStr">
        <is>
          <t>Föryngringsavverkning</t>
        </is>
      </c>
      <c r="D288" s="1" t="n">
        <v>45635</v>
      </c>
      <c r="E288" s="1" t="n">
        <v>46218</v>
      </c>
      <c r="F288" t="inlineStr">
        <is>
          <t>JÖNKÖPINGS LÄN</t>
        </is>
      </c>
      <c r="G288" t="inlineStr">
        <is>
          <t>VAGGERYD</t>
        </is>
      </c>
      <c r="H288" t="inlineStr">
        <is>
          <t>Sveaskog</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15263-2024</t>
        </is>
      </c>
      <c r="B289" t="inlineStr">
        <is>
          <t>avverkningsanmälan</t>
        </is>
      </c>
      <c r="C289" t="inlineStr">
        <is>
          <t>Föryngringsavverkning</t>
        </is>
      </c>
      <c r="D289" s="1" t="n">
        <v>45400</v>
      </c>
      <c r="E289" s="1" t="n">
        <v>46218</v>
      </c>
      <c r="F289" t="inlineStr">
        <is>
          <t>JÖNKÖPINGS LÄN</t>
        </is>
      </c>
      <c r="G289" t="inlineStr">
        <is>
          <t>VAGGERYD</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26613-2025</t>
        </is>
      </c>
      <c r="B290" t="inlineStr">
        <is>
          <t>avverkningsanmälan</t>
        </is>
      </c>
      <c r="C290" t="inlineStr">
        <is>
          <t>Föryngringsavverkning</t>
        </is>
      </c>
      <c r="D290" s="1" t="n">
        <v>45810</v>
      </c>
      <c r="E290" s="1" t="n">
        <v>46218</v>
      </c>
      <c r="F290" t="inlineStr">
        <is>
          <t>JÖNKÖPINGS LÄN</t>
        </is>
      </c>
      <c r="G290" t="inlineStr">
        <is>
          <t>VAGGERYD</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45423-2023</t>
        </is>
      </c>
      <c r="B291" t="inlineStr">
        <is>
          <t>avverkningsanmälan</t>
        </is>
      </c>
      <c r="C291" t="inlineStr">
        <is>
          <t>Föryngringsavverkning</t>
        </is>
      </c>
      <c r="D291" s="1" t="n">
        <v>45194</v>
      </c>
      <c r="E291" s="1" t="n">
        <v>46218</v>
      </c>
      <c r="F291" t="inlineStr">
        <is>
          <t>JÖNKÖPINGS LÄN</t>
        </is>
      </c>
      <c r="G291" t="inlineStr">
        <is>
          <t>VAGGERYD</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56546-2025</t>
        </is>
      </c>
      <c r="B292" t="inlineStr">
        <is>
          <t>avverkningsanmälan</t>
        </is>
      </c>
      <c r="C292" t="inlineStr">
        <is>
          <t>Föryngringsavverkning</t>
        </is>
      </c>
      <c r="D292" s="1" t="n">
        <v>45975</v>
      </c>
      <c r="E292" s="1" t="n">
        <v>46218</v>
      </c>
      <c r="F292" t="inlineStr">
        <is>
          <t>JÖNKÖPINGS LÄN</t>
        </is>
      </c>
      <c r="G292" t="inlineStr">
        <is>
          <t>VAGGERYD</t>
        </is>
      </c>
      <c r="H292" t="inlineStr">
        <is>
          <t>Sveaskog</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56550-2025</t>
        </is>
      </c>
      <c r="B293" t="inlineStr">
        <is>
          <t>avverkningsanmälan</t>
        </is>
      </c>
      <c r="C293" t="inlineStr">
        <is>
          <t>Föryngringsavverkning</t>
        </is>
      </c>
      <c r="D293" s="1" t="n">
        <v>45975</v>
      </c>
      <c r="E293" s="1" t="n">
        <v>46218</v>
      </c>
      <c r="F293" t="inlineStr">
        <is>
          <t>JÖNKÖPINGS LÄN</t>
        </is>
      </c>
      <c r="G293" t="inlineStr">
        <is>
          <t>VAGGERYD</t>
        </is>
      </c>
      <c r="H293" t="inlineStr">
        <is>
          <t>Sveaskog</t>
        </is>
      </c>
      <c r="I293" t="n">
        <v>10.1</v>
      </c>
      <c r="J293" t="n">
        <v>0</v>
      </c>
      <c r="K293" t="n">
        <v>0</v>
      </c>
      <c r="L293" t="n">
        <v>0</v>
      </c>
      <c r="M293" t="n">
        <v>0</v>
      </c>
      <c r="N293" t="n">
        <v>0</v>
      </c>
      <c r="O293" t="n">
        <v>0</v>
      </c>
      <c r="P293" t="n">
        <v>0</v>
      </c>
      <c r="Q293" t="n">
        <v>0</v>
      </c>
      <c r="R293" t="n">
        <v>0</v>
      </c>
      <c r="S293" t="n">
        <v>0</v>
      </c>
      <c r="T293" t="n">
        <v>0</v>
      </c>
      <c r="U293" s="2" t="inlineStr"/>
    </row>
    <row r="294" ht="15" customHeight="1">
      <c r="A294" t="inlineStr">
        <is>
          <t>A 27826-2025</t>
        </is>
      </c>
      <c r="B294" t="inlineStr">
        <is>
          <t>avverkningsanmälan</t>
        </is>
      </c>
      <c r="C294" t="inlineStr">
        <is>
          <t>Föryngringsavverkning</t>
        </is>
      </c>
      <c r="D294" s="1" t="n">
        <v>45817</v>
      </c>
      <c r="E294" s="1" t="n">
        <v>46218</v>
      </c>
      <c r="F294" t="inlineStr">
        <is>
          <t>JÖNKÖPINGS LÄN</t>
        </is>
      </c>
      <c r="G294" t="inlineStr">
        <is>
          <t>VAGGERYD</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27815-2025</t>
        </is>
      </c>
      <c r="B295" t="inlineStr">
        <is>
          <t>avverkningsanmälan</t>
        </is>
      </c>
      <c r="C295" t="inlineStr">
        <is>
          <t>Föryngringsavverkning</t>
        </is>
      </c>
      <c r="D295" s="1" t="n">
        <v>45817</v>
      </c>
      <c r="E295" s="1" t="n">
        <v>46218</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5489-2023</t>
        </is>
      </c>
      <c r="B296" t="inlineStr">
        <is>
          <t>avverkningsanmälan</t>
        </is>
      </c>
      <c r="C296" t="inlineStr">
        <is>
          <t>Avverkning för annat ändamål</t>
        </is>
      </c>
      <c r="D296" s="1" t="n">
        <v>44960</v>
      </c>
      <c r="E296" s="1" t="n">
        <v>46218</v>
      </c>
      <c r="F296" t="inlineStr">
        <is>
          <t>JÖNKÖPINGS LÄN</t>
        </is>
      </c>
      <c r="G296" t="inlineStr">
        <is>
          <t>VAGGERYD</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56991-2025</t>
        </is>
      </c>
      <c r="B297" t="inlineStr">
        <is>
          <t>avverkningsanmälan</t>
        </is>
      </c>
      <c r="C297" t="inlineStr">
        <is>
          <t>Föryngringsavverkning</t>
        </is>
      </c>
      <c r="D297" s="1" t="n">
        <v>45978</v>
      </c>
      <c r="E297" s="1" t="n">
        <v>46218</v>
      </c>
      <c r="F297" t="inlineStr">
        <is>
          <t>JÖNKÖPINGS LÄN</t>
        </is>
      </c>
      <c r="G297" t="inlineStr">
        <is>
          <t>VAGGERYD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57006-2025</t>
        </is>
      </c>
      <c r="B298" t="inlineStr">
        <is>
          <t>avverkningsanmälan</t>
        </is>
      </c>
      <c r="C298" t="inlineStr">
        <is>
          <t>Föryngringsavverkning</t>
        </is>
      </c>
      <c r="D298" s="1" t="n">
        <v>45978</v>
      </c>
      <c r="E298" s="1" t="n">
        <v>46218</v>
      </c>
      <c r="F298" t="inlineStr">
        <is>
          <t>JÖNKÖPINGS LÄN</t>
        </is>
      </c>
      <c r="G298" t="inlineStr">
        <is>
          <t>VAGGERYD</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57002-2025</t>
        </is>
      </c>
      <c r="B299" t="inlineStr">
        <is>
          <t>avverkningsanmälan</t>
        </is>
      </c>
      <c r="C299" t="inlineStr">
        <is>
          <t>Avverkning för annat ändamål</t>
        </is>
      </c>
      <c r="D299" s="1" t="n">
        <v>45978</v>
      </c>
      <c r="E299" s="1" t="n">
        <v>46218</v>
      </c>
      <c r="F299" t="inlineStr">
        <is>
          <t>JÖNKÖPINGS LÄN</t>
        </is>
      </c>
      <c r="G299" t="inlineStr">
        <is>
          <t>VAGGERYD</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56985-2025</t>
        </is>
      </c>
      <c r="B300" t="inlineStr">
        <is>
          <t>avverkningsanmälan</t>
        </is>
      </c>
      <c r="C300" t="inlineStr">
        <is>
          <t>Föryngringsavverkning</t>
        </is>
      </c>
      <c r="D300" s="1" t="n">
        <v>45978</v>
      </c>
      <c r="E300" s="1" t="n">
        <v>46218</v>
      </c>
      <c r="F300" t="inlineStr">
        <is>
          <t>JÖNKÖPINGS LÄN</t>
        </is>
      </c>
      <c r="G300" t="inlineStr">
        <is>
          <t>VAGGERYD</t>
        </is>
      </c>
      <c r="I300" t="n">
        <v>4.5</v>
      </c>
      <c r="J300" t="n">
        <v>0</v>
      </c>
      <c r="K300" t="n">
        <v>0</v>
      </c>
      <c r="L300" t="n">
        <v>0</v>
      </c>
      <c r="M300" t="n">
        <v>0</v>
      </c>
      <c r="N300" t="n">
        <v>0</v>
      </c>
      <c r="O300" t="n">
        <v>0</v>
      </c>
      <c r="P300" t="n">
        <v>0</v>
      </c>
      <c r="Q300" t="n">
        <v>0</v>
      </c>
      <c r="R300" t="n">
        <v>0</v>
      </c>
      <c r="S300" t="n">
        <v>0</v>
      </c>
      <c r="T300" t="n">
        <v>0</v>
      </c>
      <c r="U300" s="2" t="inlineStr"/>
    </row>
    <row r="301" ht="15" customHeight="1">
      <c r="A301" t="inlineStr">
        <is>
          <t>A 39506-2024</t>
        </is>
      </c>
      <c r="B301" t="inlineStr">
        <is>
          <t>avverkningsanmälan</t>
        </is>
      </c>
      <c r="C301" t="inlineStr">
        <is>
          <t>Föryngringsavverkning</t>
        </is>
      </c>
      <c r="D301" s="1" t="n">
        <v>45551</v>
      </c>
      <c r="E301" s="1" t="n">
        <v>46218</v>
      </c>
      <c r="F301" t="inlineStr">
        <is>
          <t>JÖNKÖPINGS LÄN</t>
        </is>
      </c>
      <c r="G301" t="inlineStr">
        <is>
          <t>VAGGERYD</t>
        </is>
      </c>
      <c r="H301" t="inlineStr">
        <is>
          <t>Kommuner</t>
        </is>
      </c>
      <c r="I301" t="n">
        <v>3.8</v>
      </c>
      <c r="J301" t="n">
        <v>0</v>
      </c>
      <c r="K301" t="n">
        <v>0</v>
      </c>
      <c r="L301" t="n">
        <v>0</v>
      </c>
      <c r="M301" t="n">
        <v>0</v>
      </c>
      <c r="N301" t="n">
        <v>0</v>
      </c>
      <c r="O301" t="n">
        <v>0</v>
      </c>
      <c r="P301" t="n">
        <v>0</v>
      </c>
      <c r="Q301" t="n">
        <v>0</v>
      </c>
      <c r="R301" t="n">
        <v>0</v>
      </c>
      <c r="S301" t="n">
        <v>0</v>
      </c>
      <c r="T301" t="n">
        <v>0</v>
      </c>
      <c r="U301" s="2" t="inlineStr"/>
    </row>
    <row r="302" ht="15" customHeight="1">
      <c r="A302" t="inlineStr">
        <is>
          <t>A 57566-2025</t>
        </is>
      </c>
      <c r="B302" t="inlineStr">
        <is>
          <t>avverkningsanmälan</t>
        </is>
      </c>
      <c r="C302" t="inlineStr">
        <is>
          <t>Föryngringsavverkning</t>
        </is>
      </c>
      <c r="D302" s="1" t="n">
        <v>45980</v>
      </c>
      <c r="E302" s="1" t="n">
        <v>46218</v>
      </c>
      <c r="F302" t="inlineStr">
        <is>
          <t>JÖNKÖPINGS LÄN</t>
        </is>
      </c>
      <c r="G302" t="inlineStr">
        <is>
          <t>VAGGERYD</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29639-2025</t>
        </is>
      </c>
      <c r="B303" t="inlineStr">
        <is>
          <t>avverkningsanmälan</t>
        </is>
      </c>
      <c r="C303" t="inlineStr">
        <is>
          <t>Föryngringsavverkning</t>
        </is>
      </c>
      <c r="D303" s="1" t="n">
        <v>45825</v>
      </c>
      <c r="E303" s="1" t="n">
        <v>46218</v>
      </c>
      <c r="F303" t="inlineStr">
        <is>
          <t>JÖNKÖPINGS LÄN</t>
        </is>
      </c>
      <c r="G303" t="inlineStr">
        <is>
          <t>VAGGERYD</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766-2024</t>
        </is>
      </c>
      <c r="B304" t="inlineStr">
        <is>
          <t>avverkningsanmälan</t>
        </is>
      </c>
      <c r="C304" t="inlineStr">
        <is>
          <t>Föryngringsavverkning</t>
        </is>
      </c>
      <c r="D304" s="1" t="n">
        <v>45300</v>
      </c>
      <c r="E304" s="1" t="n">
        <v>46218</v>
      </c>
      <c r="F304" t="inlineStr">
        <is>
          <t>JÖNKÖPINGS LÄN</t>
        </is>
      </c>
      <c r="G304" t="inlineStr">
        <is>
          <t>VAGGERYD</t>
        </is>
      </c>
      <c r="I304" t="n">
        <v>2.8</v>
      </c>
      <c r="J304" t="n">
        <v>0</v>
      </c>
      <c r="K304" t="n">
        <v>0</v>
      </c>
      <c r="L304" t="n">
        <v>0</v>
      </c>
      <c r="M304" t="n">
        <v>0</v>
      </c>
      <c r="N304" t="n">
        <v>0</v>
      </c>
      <c r="O304" t="n">
        <v>0</v>
      </c>
      <c r="P304" t="n">
        <v>0</v>
      </c>
      <c r="Q304" t="n">
        <v>0</v>
      </c>
      <c r="R304" t="n">
        <v>0</v>
      </c>
      <c r="S304" t="n">
        <v>0</v>
      </c>
      <c r="T304" t="n">
        <v>0</v>
      </c>
      <c r="U304" s="2" t="inlineStr"/>
    </row>
    <row r="305" ht="15" customHeight="1">
      <c r="A305" t="inlineStr">
        <is>
          <t>A 36748-2023</t>
        </is>
      </c>
      <c r="B305" t="inlineStr">
        <is>
          <t>avverkningsanmälan</t>
        </is>
      </c>
      <c r="C305" t="inlineStr">
        <is>
          <t>Föryngringsavverkning</t>
        </is>
      </c>
      <c r="D305" s="1" t="n">
        <v>45153</v>
      </c>
      <c r="E305" s="1" t="n">
        <v>46218</v>
      </c>
      <c r="F305" t="inlineStr">
        <is>
          <t>JÖNKÖPINGS LÄN</t>
        </is>
      </c>
      <c r="G305" t="inlineStr">
        <is>
          <t>VAGGERYD</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30941-2025</t>
        </is>
      </c>
      <c r="B306" t="inlineStr">
        <is>
          <t>avverkningsanmälan</t>
        </is>
      </c>
      <c r="C306" t="inlineStr">
        <is>
          <t>Föryngringsavverkning</t>
        </is>
      </c>
      <c r="D306" s="1" t="n">
        <v>45832</v>
      </c>
      <c r="E306" s="1" t="n">
        <v>46218</v>
      </c>
      <c r="F306" t="inlineStr">
        <is>
          <t>JÖNKÖPINGS LÄN</t>
        </is>
      </c>
      <c r="G306" t="inlineStr">
        <is>
          <t>VAGGERYD</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31194-2025</t>
        </is>
      </c>
      <c r="B307" t="inlineStr">
        <is>
          <t>avverkningsanmälan</t>
        </is>
      </c>
      <c r="C307" t="inlineStr">
        <is>
          <t>Föryngringsavverkning</t>
        </is>
      </c>
      <c r="D307" s="1" t="n">
        <v>45832</v>
      </c>
      <c r="E307" s="1" t="n">
        <v>46218</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17009-2024</t>
        </is>
      </c>
      <c r="B308" t="inlineStr">
        <is>
          <t>avverkningsanmälan</t>
        </is>
      </c>
      <c r="C308" t="inlineStr">
        <is>
          <t>Föryngringsavverkning</t>
        </is>
      </c>
      <c r="D308" s="1" t="n">
        <v>45412</v>
      </c>
      <c r="E308" s="1" t="n">
        <v>46218</v>
      </c>
      <c r="F308" t="inlineStr">
        <is>
          <t>JÖNKÖPINGS LÄN</t>
        </is>
      </c>
      <c r="G308" t="inlineStr">
        <is>
          <t>VAGGERYD</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6105-2025</t>
        </is>
      </c>
      <c r="B309" t="inlineStr">
        <is>
          <t>avverkningsanmälan</t>
        </is>
      </c>
      <c r="C309" t="inlineStr">
        <is>
          <t>Föryngringsavverkning</t>
        </is>
      </c>
      <c r="D309" s="1" t="n">
        <v>45697</v>
      </c>
      <c r="E309" s="1" t="n">
        <v>46218</v>
      </c>
      <c r="F309" t="inlineStr">
        <is>
          <t>JÖNKÖPINGS LÄN</t>
        </is>
      </c>
      <c r="G309" t="inlineStr">
        <is>
          <t>VAGGERYD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51855-2024</t>
        </is>
      </c>
      <c r="B310" t="inlineStr">
        <is>
          <t>avverkningsanmälan</t>
        </is>
      </c>
      <c r="C310" t="inlineStr">
        <is>
          <t>Föryngringsavverkning</t>
        </is>
      </c>
      <c r="D310" s="1" t="n">
        <v>45607</v>
      </c>
      <c r="E310" s="1" t="n">
        <v>46218</v>
      </c>
      <c r="F310" t="inlineStr">
        <is>
          <t>JÖNKÖPINGS LÄN</t>
        </is>
      </c>
      <c r="G310" t="inlineStr">
        <is>
          <t>VAGGERYD</t>
        </is>
      </c>
      <c r="H310" t="inlineStr">
        <is>
          <t>Sveaskog</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58267-2025</t>
        </is>
      </c>
      <c r="B311" t="inlineStr">
        <is>
          <t>avverkningsanmälan</t>
        </is>
      </c>
      <c r="C311" t="inlineStr">
        <is>
          <t>Avverkning för annat ändamål</t>
        </is>
      </c>
      <c r="D311" s="1" t="n">
        <v>45985</v>
      </c>
      <c r="E311" s="1" t="n">
        <v>46218</v>
      </c>
      <c r="F311" t="inlineStr">
        <is>
          <t>JÖNKÖPINGS LÄN</t>
        </is>
      </c>
      <c r="G311" t="inlineStr">
        <is>
          <t>VAGGERYD</t>
        </is>
      </c>
      <c r="I311" t="n">
        <v>3.9</v>
      </c>
      <c r="J311" t="n">
        <v>0</v>
      </c>
      <c r="K311" t="n">
        <v>0</v>
      </c>
      <c r="L311" t="n">
        <v>0</v>
      </c>
      <c r="M311" t="n">
        <v>0</v>
      </c>
      <c r="N311" t="n">
        <v>0</v>
      </c>
      <c r="O311" t="n">
        <v>0</v>
      </c>
      <c r="P311" t="n">
        <v>0</v>
      </c>
      <c r="Q311" t="n">
        <v>0</v>
      </c>
      <c r="R311" t="n">
        <v>0</v>
      </c>
      <c r="S311" t="n">
        <v>0</v>
      </c>
      <c r="T311" t="n">
        <v>0</v>
      </c>
      <c r="U311" s="2" t="inlineStr"/>
    </row>
    <row r="312" ht="15" customHeight="1">
      <c r="A312" t="inlineStr">
        <is>
          <t>A 17603-2025</t>
        </is>
      </c>
      <c r="B312" t="inlineStr">
        <is>
          <t>avverkningsanmälan</t>
        </is>
      </c>
      <c r="C312" t="inlineStr">
        <is>
          <t>Föryngringsavverkning</t>
        </is>
      </c>
      <c r="D312" s="1" t="n">
        <v>45757</v>
      </c>
      <c r="E312" s="1" t="n">
        <v>46218</v>
      </c>
      <c r="F312" t="inlineStr">
        <is>
          <t>JÖNKÖPINGS LÄN</t>
        </is>
      </c>
      <c r="G312" t="inlineStr">
        <is>
          <t>VAGGERYD</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41379-2025</t>
        </is>
      </c>
      <c r="B313" t="inlineStr">
        <is>
          <t>avverkningsanmälan</t>
        </is>
      </c>
      <c r="C313" t="inlineStr">
        <is>
          <t>Föryngringsavverkning</t>
        </is>
      </c>
      <c r="D313" s="1" t="n">
        <v>45900</v>
      </c>
      <c r="E313" s="1" t="n">
        <v>46218</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22983-2025</t>
        </is>
      </c>
      <c r="B314" t="inlineStr">
        <is>
          <t>avverkningsanmälan</t>
        </is>
      </c>
      <c r="C314" t="inlineStr">
        <is>
          <t>Föryngringsavverkning</t>
        </is>
      </c>
      <c r="D314" s="1" t="n">
        <v>45790</v>
      </c>
      <c r="E314" s="1" t="n">
        <v>46218</v>
      </c>
      <c r="F314" t="inlineStr">
        <is>
          <t>JÖNKÖPINGS LÄN</t>
        </is>
      </c>
      <c r="G314" t="inlineStr">
        <is>
          <t>VAGGERYD</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34091-2025</t>
        </is>
      </c>
      <c r="B315" t="inlineStr">
        <is>
          <t>avverkningsanmälan</t>
        </is>
      </c>
      <c r="C315" t="inlineStr">
        <is>
          <t>Föryngringsavverkning</t>
        </is>
      </c>
      <c r="D315" s="1" t="n">
        <v>45845</v>
      </c>
      <c r="E315" s="1" t="n">
        <v>46218</v>
      </c>
      <c r="F315" t="inlineStr">
        <is>
          <t>JÖNKÖPINGS LÄN</t>
        </is>
      </c>
      <c r="G315" t="inlineStr">
        <is>
          <t>VAGGERYD</t>
        </is>
      </c>
      <c r="H315" t="inlineStr">
        <is>
          <t>Sveaskog</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63412-2023</t>
        </is>
      </c>
      <c r="B316" t="inlineStr">
        <is>
          <t>avverkningsanmälan</t>
        </is>
      </c>
      <c r="C316" t="inlineStr">
        <is>
          <t>Föryngringsavverkning</t>
        </is>
      </c>
      <c r="D316" s="1" t="n">
        <v>45274</v>
      </c>
      <c r="E316" s="1" t="n">
        <v>46218</v>
      </c>
      <c r="F316" t="inlineStr">
        <is>
          <t>JÖNKÖPINGS LÄN</t>
        </is>
      </c>
      <c r="G316" t="inlineStr">
        <is>
          <t>VAGGERYD</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39370-2023</t>
        </is>
      </c>
      <c r="B317" t="inlineStr">
        <is>
          <t>avverkningsanmälan</t>
        </is>
      </c>
      <c r="C317" t="inlineStr">
        <is>
          <t>Föryngringsavverkning</t>
        </is>
      </c>
      <c r="D317" s="1" t="n">
        <v>45162</v>
      </c>
      <c r="E317" s="1" t="n">
        <v>46218</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18515-2025</t>
        </is>
      </c>
      <c r="B318" t="inlineStr">
        <is>
          <t>avverkningsanmälan</t>
        </is>
      </c>
      <c r="C318" t="inlineStr">
        <is>
          <t>Föryngringsavverkning</t>
        </is>
      </c>
      <c r="D318" s="1" t="n">
        <v>45763</v>
      </c>
      <c r="E318" s="1" t="n">
        <v>46218</v>
      </c>
      <c r="F318" t="inlineStr">
        <is>
          <t>JÖNKÖPINGS LÄN</t>
        </is>
      </c>
      <c r="G318" t="inlineStr">
        <is>
          <t>VAGGERYD</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42162-2025</t>
        </is>
      </c>
      <c r="B319" t="inlineStr">
        <is>
          <t>avverkningsanmälan</t>
        </is>
      </c>
      <c r="C319" t="inlineStr">
        <is>
          <t>Föryngringsavverkning</t>
        </is>
      </c>
      <c r="D319" s="1" t="n">
        <v>45904</v>
      </c>
      <c r="E319" s="1" t="n">
        <v>46218</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58915-2024</t>
        </is>
      </c>
      <c r="B320" t="inlineStr">
        <is>
          <t>avverkningsanmälan</t>
        </is>
      </c>
      <c r="C320" t="inlineStr">
        <is>
          <t>Föryngringsavverkning</t>
        </is>
      </c>
      <c r="D320" s="1" t="n">
        <v>45636</v>
      </c>
      <c r="E320" s="1" t="n">
        <v>46218</v>
      </c>
      <c r="F320" t="inlineStr">
        <is>
          <t>JÖNKÖPINGS LÄN</t>
        </is>
      </c>
      <c r="G320" t="inlineStr">
        <is>
          <t>VAGGERYD</t>
        </is>
      </c>
      <c r="H320" t="inlineStr">
        <is>
          <t>Sveaskog</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60302-2022</t>
        </is>
      </c>
      <c r="B321" t="inlineStr">
        <is>
          <t>avverkningsanmälan</t>
        </is>
      </c>
      <c r="C321" t="inlineStr">
        <is>
          <t>Avverkning för att bevara och utveckla /försöksver</t>
        </is>
      </c>
      <c r="D321" s="1" t="n">
        <v>44910</v>
      </c>
      <c r="E321" s="1" t="n">
        <v>46218</v>
      </c>
      <c r="F321" t="inlineStr">
        <is>
          <t>JÖNKÖPINGS LÄN</t>
        </is>
      </c>
      <c r="G321" t="inlineStr">
        <is>
          <t>VAGGERYD</t>
        </is>
      </c>
      <c r="H321" t="inlineStr">
        <is>
          <t>Sveaskog</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43676-2023</t>
        </is>
      </c>
      <c r="B322" t="inlineStr">
        <is>
          <t>avverkningsanmälan</t>
        </is>
      </c>
      <c r="C322" t="inlineStr">
        <is>
          <t>Föryngringsavverkning</t>
        </is>
      </c>
      <c r="D322" s="1" t="n">
        <v>45187</v>
      </c>
      <c r="E322" s="1" t="n">
        <v>46218</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35570-2025</t>
        </is>
      </c>
      <c r="B323" t="inlineStr">
        <is>
          <t>avverkningsanmälan</t>
        </is>
      </c>
      <c r="C323" t="inlineStr">
        <is>
          <t>Föryngringsavverkning</t>
        </is>
      </c>
      <c r="D323" s="1" t="n">
        <v>45856</v>
      </c>
      <c r="E323" s="1" t="n">
        <v>46218</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40858-2024</t>
        </is>
      </c>
      <c r="B324" t="inlineStr">
        <is>
          <t>avverkningsanmälan</t>
        </is>
      </c>
      <c r="C324" t="inlineStr">
        <is>
          <t>Föryngringsavverkning</t>
        </is>
      </c>
      <c r="D324" s="1" t="n">
        <v>45558</v>
      </c>
      <c r="E324" s="1" t="n">
        <v>46218</v>
      </c>
      <c r="F324" t="inlineStr">
        <is>
          <t>JÖNKÖPINGS LÄN</t>
        </is>
      </c>
      <c r="G324" t="inlineStr">
        <is>
          <t>VAGGERYD</t>
        </is>
      </c>
      <c r="H324" t="inlineStr">
        <is>
          <t>Sveaskog</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13107-2023</t>
        </is>
      </c>
      <c r="B325" t="inlineStr">
        <is>
          <t>avverkningsanmälan</t>
        </is>
      </c>
      <c r="C325" t="inlineStr">
        <is>
          <t>Föryngringsavverkning</t>
        </is>
      </c>
      <c r="D325" s="1" t="n">
        <v>45002</v>
      </c>
      <c r="E325" s="1" t="n">
        <v>46218</v>
      </c>
      <c r="F325" t="inlineStr">
        <is>
          <t>JÖNKÖPINGS LÄN</t>
        </is>
      </c>
      <c r="G325" t="inlineStr">
        <is>
          <t>VAGGERYD</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1489-2023</t>
        </is>
      </c>
      <c r="B326" t="inlineStr">
        <is>
          <t>avverkningsanmälan</t>
        </is>
      </c>
      <c r="C326" t="inlineStr">
        <is>
          <t>Föryngringsavverkning</t>
        </is>
      </c>
      <c r="D326" s="1" t="n">
        <v>44935</v>
      </c>
      <c r="E326" s="1" t="n">
        <v>46218</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1493-2023</t>
        </is>
      </c>
      <c r="B327" t="inlineStr">
        <is>
          <t>avverkningsanmälan</t>
        </is>
      </c>
      <c r="C327" t="inlineStr">
        <is>
          <t>Föryngringsavverkning</t>
        </is>
      </c>
      <c r="D327" s="1" t="n">
        <v>44935</v>
      </c>
      <c r="E327" s="1" t="n">
        <v>46218</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36328-2023</t>
        </is>
      </c>
      <c r="B328" t="inlineStr">
        <is>
          <t>avverkningsanmälan</t>
        </is>
      </c>
      <c r="C328" t="inlineStr">
        <is>
          <t>Avverkning för annat ändamål</t>
        </is>
      </c>
      <c r="D328" s="1" t="n">
        <v>45149</v>
      </c>
      <c r="E328" s="1" t="n">
        <v>46218</v>
      </c>
      <c r="F328" t="inlineStr">
        <is>
          <t>JÖNKÖPINGS LÄN</t>
        </is>
      </c>
      <c r="G328" t="inlineStr">
        <is>
          <t>VAGGERYD</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59177-2025</t>
        </is>
      </c>
      <c r="B329" t="inlineStr">
        <is>
          <t>avverkningsanmälan</t>
        </is>
      </c>
      <c r="C329" t="inlineStr">
        <is>
          <t>Föryngringsavverkning</t>
        </is>
      </c>
      <c r="D329" s="1" t="n">
        <v>45988</v>
      </c>
      <c r="E329" s="1" t="n">
        <v>46218</v>
      </c>
      <c r="F329" t="inlineStr">
        <is>
          <t>JÖNKÖPINGS LÄN</t>
        </is>
      </c>
      <c r="G329" t="inlineStr">
        <is>
          <t>VAGGERYD</t>
        </is>
      </c>
      <c r="I329" t="n">
        <v>3.6</v>
      </c>
      <c r="J329" t="n">
        <v>0</v>
      </c>
      <c r="K329" t="n">
        <v>0</v>
      </c>
      <c r="L329" t="n">
        <v>0</v>
      </c>
      <c r="M329" t="n">
        <v>0</v>
      </c>
      <c r="N329" t="n">
        <v>0</v>
      </c>
      <c r="O329" t="n">
        <v>0</v>
      </c>
      <c r="P329" t="n">
        <v>0</v>
      </c>
      <c r="Q329" t="n">
        <v>0</v>
      </c>
      <c r="R329" t="n">
        <v>0</v>
      </c>
      <c r="S329" t="n">
        <v>0</v>
      </c>
      <c r="T329" t="n">
        <v>0</v>
      </c>
      <c r="U329" s="2" t="inlineStr"/>
    </row>
    <row r="330" ht="15" customHeight="1">
      <c r="A330" t="inlineStr">
        <is>
          <t>A 37803-2021</t>
        </is>
      </c>
      <c r="B330" t="inlineStr">
        <is>
          <t>avverkningsanmälan</t>
        </is>
      </c>
      <c r="C330" t="inlineStr">
        <is>
          <t>Föryngringsavverkning</t>
        </is>
      </c>
      <c r="D330" s="1" t="n">
        <v>44402</v>
      </c>
      <c r="E330" s="1" t="n">
        <v>46218</v>
      </c>
      <c r="F330" t="inlineStr">
        <is>
          <t>JÖNKÖPINGS LÄN</t>
        </is>
      </c>
      <c r="G330" t="inlineStr">
        <is>
          <t>VAGGERYD</t>
        </is>
      </c>
      <c r="I330" t="n">
        <v>4.2</v>
      </c>
      <c r="J330" t="n">
        <v>0</v>
      </c>
      <c r="K330" t="n">
        <v>0</v>
      </c>
      <c r="L330" t="n">
        <v>0</v>
      </c>
      <c r="M330" t="n">
        <v>0</v>
      </c>
      <c r="N330" t="n">
        <v>0</v>
      </c>
      <c r="O330" t="n">
        <v>0</v>
      </c>
      <c r="P330" t="n">
        <v>0</v>
      </c>
      <c r="Q330" t="n">
        <v>0</v>
      </c>
      <c r="R330" t="n">
        <v>0</v>
      </c>
      <c r="S330" t="n">
        <v>0</v>
      </c>
      <c r="T330" t="n">
        <v>0</v>
      </c>
      <c r="U330" s="2" t="inlineStr"/>
    </row>
    <row r="331" ht="15" customHeight="1">
      <c r="A331" t="inlineStr">
        <is>
          <t>A 2027-2025</t>
        </is>
      </c>
      <c r="B331" t="inlineStr">
        <is>
          <t>avverkningsanmälan</t>
        </is>
      </c>
      <c r="C331" t="inlineStr">
        <is>
          <t>Föryngringsavverkning</t>
        </is>
      </c>
      <c r="D331" s="1" t="n">
        <v>45672</v>
      </c>
      <c r="E331" s="1" t="n">
        <v>46218</v>
      </c>
      <c r="F331" t="inlineStr">
        <is>
          <t>JÖNKÖPINGS LÄN</t>
        </is>
      </c>
      <c r="G331" t="inlineStr">
        <is>
          <t>VAGGERYD</t>
        </is>
      </c>
      <c r="H331" t="inlineStr">
        <is>
          <t>Sveaskog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53356-2022</t>
        </is>
      </c>
      <c r="B332" t="inlineStr">
        <is>
          <t>avverkningsanmälan</t>
        </is>
      </c>
      <c r="C332" t="inlineStr">
        <is>
          <t>Föryngringsavverkning</t>
        </is>
      </c>
      <c r="D332" s="1" t="n">
        <v>44879</v>
      </c>
      <c r="E332" s="1" t="n">
        <v>46218</v>
      </c>
      <c r="F332" t="inlineStr">
        <is>
          <t>JÖNKÖPINGS LÄN</t>
        </is>
      </c>
      <c r="G332" t="inlineStr">
        <is>
          <t>VAGGERYD</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3113-2025</t>
        </is>
      </c>
      <c r="B333" t="inlineStr">
        <is>
          <t>avverkningsanmälan</t>
        </is>
      </c>
      <c r="C333" t="inlineStr">
        <is>
          <t>Föryngringsavverkning</t>
        </is>
      </c>
      <c r="D333" s="1" t="n">
        <v>45678</v>
      </c>
      <c r="E333" s="1" t="n">
        <v>46218</v>
      </c>
      <c r="F333" t="inlineStr">
        <is>
          <t>JÖNKÖPINGS LÄN</t>
        </is>
      </c>
      <c r="G333" t="inlineStr">
        <is>
          <t>VAGGERYD</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51830-2021</t>
        </is>
      </c>
      <c r="B334" t="inlineStr">
        <is>
          <t>avverkningsanmälan</t>
        </is>
      </c>
      <c r="C334" t="inlineStr">
        <is>
          <t>Föryngringsavverkning</t>
        </is>
      </c>
      <c r="D334" s="1" t="n">
        <v>44462</v>
      </c>
      <c r="E334" s="1" t="n">
        <v>46218</v>
      </c>
      <c r="F334" t="inlineStr">
        <is>
          <t>JÖNKÖPINGS LÄN</t>
        </is>
      </c>
      <c r="G334" t="inlineStr">
        <is>
          <t>VAGGERYD</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19798-2023</t>
        </is>
      </c>
      <c r="B335" t="inlineStr">
        <is>
          <t>avverkningsanmälan</t>
        </is>
      </c>
      <c r="C335" t="inlineStr">
        <is>
          <t>Föryngringsavverkning</t>
        </is>
      </c>
      <c r="D335" s="1" t="n">
        <v>45051</v>
      </c>
      <c r="E335" s="1" t="n">
        <v>46218</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58923-2024</t>
        </is>
      </c>
      <c r="B336" t="inlineStr">
        <is>
          <t>avverkningsanmälan</t>
        </is>
      </c>
      <c r="C336" t="inlineStr">
        <is>
          <t>Föryngringsavverkning</t>
        </is>
      </c>
      <c r="D336" s="1" t="n">
        <v>45636</v>
      </c>
      <c r="E336" s="1" t="n">
        <v>46218</v>
      </c>
      <c r="F336" t="inlineStr">
        <is>
          <t>JÖNKÖPINGS LÄN</t>
        </is>
      </c>
      <c r="G336" t="inlineStr">
        <is>
          <t>VAGGERYD</t>
        </is>
      </c>
      <c r="H336" t="inlineStr">
        <is>
          <t>Sveaskog</t>
        </is>
      </c>
      <c r="I336" t="n">
        <v>9.5</v>
      </c>
      <c r="J336" t="n">
        <v>0</v>
      </c>
      <c r="K336" t="n">
        <v>0</v>
      </c>
      <c r="L336" t="n">
        <v>0</v>
      </c>
      <c r="M336" t="n">
        <v>0</v>
      </c>
      <c r="N336" t="n">
        <v>0</v>
      </c>
      <c r="O336" t="n">
        <v>0</v>
      </c>
      <c r="P336" t="n">
        <v>0</v>
      </c>
      <c r="Q336" t="n">
        <v>0</v>
      </c>
      <c r="R336" t="n">
        <v>0</v>
      </c>
      <c r="S336" t="n">
        <v>0</v>
      </c>
      <c r="T336" t="n">
        <v>0</v>
      </c>
      <c r="U336" s="2" t="inlineStr"/>
    </row>
    <row r="337" ht="15" customHeight="1">
      <c r="A337" t="inlineStr">
        <is>
          <t>A 58924-2024</t>
        </is>
      </c>
      <c r="B337" t="inlineStr">
        <is>
          <t>avverkningsanmälan</t>
        </is>
      </c>
      <c r="C337" t="inlineStr">
        <is>
          <t>Föryngringsavverkning</t>
        </is>
      </c>
      <c r="D337" s="1" t="n">
        <v>45636</v>
      </c>
      <c r="E337" s="1" t="n">
        <v>46218</v>
      </c>
      <c r="F337" t="inlineStr">
        <is>
          <t>JÖNKÖPINGS LÄN</t>
        </is>
      </c>
      <c r="G337" t="inlineStr">
        <is>
          <t>VAGGERYD</t>
        </is>
      </c>
      <c r="H337" t="inlineStr">
        <is>
          <t>Sveaskog</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18703-2025</t>
        </is>
      </c>
      <c r="B338" t="inlineStr">
        <is>
          <t>avverkningsanmälan</t>
        </is>
      </c>
      <c r="C338" t="inlineStr">
        <is>
          <t>Föryngringsavverkning</t>
        </is>
      </c>
      <c r="D338" s="1" t="n">
        <v>45763</v>
      </c>
      <c r="E338" s="1" t="n">
        <v>46218</v>
      </c>
      <c r="F338" t="inlineStr">
        <is>
          <t>JÖNKÖPINGS LÄN</t>
        </is>
      </c>
      <c r="G338" t="inlineStr">
        <is>
          <t>VAGGERYD</t>
        </is>
      </c>
      <c r="H338" t="inlineStr">
        <is>
          <t>Sveaskog</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18706-2025</t>
        </is>
      </c>
      <c r="B339" t="inlineStr">
        <is>
          <t>avverkningsanmälan</t>
        </is>
      </c>
      <c r="C339" t="inlineStr">
        <is>
          <t>Föryngringsavverkning</t>
        </is>
      </c>
      <c r="D339" s="1" t="n">
        <v>45763</v>
      </c>
      <c r="E339" s="1" t="n">
        <v>46218</v>
      </c>
      <c r="F339" t="inlineStr">
        <is>
          <t>JÖNKÖPINGS LÄN</t>
        </is>
      </c>
      <c r="G339" t="inlineStr">
        <is>
          <t>VAGGERYD</t>
        </is>
      </c>
      <c r="H339" t="inlineStr">
        <is>
          <t>Sveaskog</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61915-2023</t>
        </is>
      </c>
      <c r="B340" t="inlineStr">
        <is>
          <t>avverkningsanmälan</t>
        </is>
      </c>
      <c r="C340" t="inlineStr">
        <is>
          <t>Föryngringsavverkning</t>
        </is>
      </c>
      <c r="D340" s="1" t="n">
        <v>45266</v>
      </c>
      <c r="E340" s="1" t="n">
        <v>46218</v>
      </c>
      <c r="F340" t="inlineStr">
        <is>
          <t>JÖNKÖPINGS LÄN</t>
        </is>
      </c>
      <c r="G340" t="inlineStr">
        <is>
          <t>VAGGERYD</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37757-2025</t>
        </is>
      </c>
      <c r="B341" t="inlineStr">
        <is>
          <t>avverkningsanmälan</t>
        </is>
      </c>
      <c r="C341" t="inlineStr">
        <is>
          <t>Föryngringsavverkning</t>
        </is>
      </c>
      <c r="D341" s="1" t="n">
        <v>45880</v>
      </c>
      <c r="E341" s="1" t="n">
        <v>46218</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60859-2025</t>
        </is>
      </c>
      <c r="B342" t="inlineStr">
        <is>
          <t>avverkningsanmälan</t>
        </is>
      </c>
      <c r="C342" t="inlineStr">
        <is>
          <t>Föryngringsavverkning</t>
        </is>
      </c>
      <c r="D342" s="1" t="n">
        <v>45999</v>
      </c>
      <c r="E342" s="1" t="n">
        <v>46218</v>
      </c>
      <c r="F342" t="inlineStr">
        <is>
          <t>JÖNKÖPINGS LÄN</t>
        </is>
      </c>
      <c r="G342" t="inlineStr">
        <is>
          <t>VAGGERYD</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38107-2025</t>
        </is>
      </c>
      <c r="B343" t="inlineStr">
        <is>
          <t>avverkningsanmälan</t>
        </is>
      </c>
      <c r="C343" t="inlineStr">
        <is>
          <t>Föryngringsavverkning</t>
        </is>
      </c>
      <c r="D343" s="1" t="n">
        <v>45882</v>
      </c>
      <c r="E343" s="1" t="n">
        <v>46218</v>
      </c>
      <c r="F343" t="inlineStr">
        <is>
          <t>JÖNKÖPINGS LÄN</t>
        </is>
      </c>
      <c r="G343" t="inlineStr">
        <is>
          <t>VAGGERYD</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15946-2025</t>
        </is>
      </c>
      <c r="B344" t="inlineStr">
        <is>
          <t>avverkningsanmälan</t>
        </is>
      </c>
      <c r="C344" t="inlineStr">
        <is>
          <t>Föryngringsavverkning</t>
        </is>
      </c>
      <c r="D344" s="1" t="n">
        <v>45749</v>
      </c>
      <c r="E344" s="1" t="n">
        <v>46218</v>
      </c>
      <c r="F344" t="inlineStr">
        <is>
          <t>JÖNKÖPINGS LÄN</t>
        </is>
      </c>
      <c r="G344" t="inlineStr">
        <is>
          <t>VAGGERYD</t>
        </is>
      </c>
      <c r="H344" t="inlineStr">
        <is>
          <t>Sveaskog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41956-2024</t>
        </is>
      </c>
      <c r="B345" t="inlineStr">
        <is>
          <t>avverkningsanmälan</t>
        </is>
      </c>
      <c r="C345" t="inlineStr">
        <is>
          <t>Föryngringsavverkning</t>
        </is>
      </c>
      <c r="D345" s="1" t="n">
        <v>45561</v>
      </c>
      <c r="E345" s="1" t="n">
        <v>46218</v>
      </c>
      <c r="F345" t="inlineStr">
        <is>
          <t>JÖNKÖPINGS LÄN</t>
        </is>
      </c>
      <c r="G345" t="inlineStr">
        <is>
          <t>VAGGERYD</t>
        </is>
      </c>
      <c r="I345" t="n">
        <v>8.9</v>
      </c>
      <c r="J345" t="n">
        <v>0</v>
      </c>
      <c r="K345" t="n">
        <v>0</v>
      </c>
      <c r="L345" t="n">
        <v>0</v>
      </c>
      <c r="M345" t="n">
        <v>0</v>
      </c>
      <c r="N345" t="n">
        <v>0</v>
      </c>
      <c r="O345" t="n">
        <v>0</v>
      </c>
      <c r="P345" t="n">
        <v>0</v>
      </c>
      <c r="Q345" t="n">
        <v>0</v>
      </c>
      <c r="R345" t="n">
        <v>0</v>
      </c>
      <c r="S345" t="n">
        <v>0</v>
      </c>
      <c r="T345" t="n">
        <v>0</v>
      </c>
      <c r="U345" s="2" t="inlineStr"/>
    </row>
    <row r="346" ht="15" customHeight="1">
      <c r="A346" t="inlineStr">
        <is>
          <t>A 61633-2025</t>
        </is>
      </c>
      <c r="B346" t="inlineStr">
        <is>
          <t>avverkningsanmälan</t>
        </is>
      </c>
      <c r="C346" t="inlineStr">
        <is>
          <t>Föryngringsavverkning</t>
        </is>
      </c>
      <c r="D346" s="1" t="n">
        <v>46002</v>
      </c>
      <c r="E346" s="1" t="n">
        <v>46218</v>
      </c>
      <c r="F346" t="inlineStr">
        <is>
          <t>JÖNKÖPINGS LÄN</t>
        </is>
      </c>
      <c r="G346" t="inlineStr">
        <is>
          <t>VAGGERYD</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24382-2022</t>
        </is>
      </c>
      <c r="B347" t="inlineStr">
        <is>
          <t>avverkningsanmälan</t>
        </is>
      </c>
      <c r="C347" t="inlineStr">
        <is>
          <t>Avverkning för annat ändamål</t>
        </is>
      </c>
      <c r="D347" s="1" t="n">
        <v>44726</v>
      </c>
      <c r="E347" s="1" t="n">
        <v>46218</v>
      </c>
      <c r="F347" t="inlineStr">
        <is>
          <t>JÖNKÖPINGS LÄN</t>
        </is>
      </c>
      <c r="G347" t="inlineStr">
        <is>
          <t>VAGGERYD</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40190-2024</t>
        </is>
      </c>
      <c r="B348" t="inlineStr">
        <is>
          <t>avverkningsanmälan</t>
        </is>
      </c>
      <c r="C348" t="inlineStr">
        <is>
          <t>Föryngringsavverkning</t>
        </is>
      </c>
      <c r="D348" s="1" t="n">
        <v>45554</v>
      </c>
      <c r="E348" s="1" t="n">
        <v>46218</v>
      </c>
      <c r="F348" t="inlineStr">
        <is>
          <t>JÖNKÖPINGS LÄN</t>
        </is>
      </c>
      <c r="G348" t="inlineStr">
        <is>
          <t>VAGGERYD</t>
        </is>
      </c>
      <c r="H348" t="inlineStr">
        <is>
          <t>Sveaskog</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62040-2025</t>
        </is>
      </c>
      <c r="B349" t="inlineStr">
        <is>
          <t>avverkningsanmälan</t>
        </is>
      </c>
      <c r="C349" t="inlineStr">
        <is>
          <t>Föryngringsavverkning</t>
        </is>
      </c>
      <c r="D349" s="1" t="n">
        <v>46005</v>
      </c>
      <c r="E349" s="1" t="n">
        <v>46218</v>
      </c>
      <c r="F349" t="inlineStr">
        <is>
          <t>JÖNKÖPINGS LÄN</t>
        </is>
      </c>
      <c r="G349" t="inlineStr">
        <is>
          <t>VAGGERYD</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17302-2022</t>
        </is>
      </c>
      <c r="B350" t="inlineStr">
        <is>
          <t>avverkningsanmälan</t>
        </is>
      </c>
      <c r="C350" t="inlineStr">
        <is>
          <t>Föryngringsavverkning</t>
        </is>
      </c>
      <c r="D350" s="1" t="n">
        <v>44678</v>
      </c>
      <c r="E350" s="1" t="n">
        <v>46218</v>
      </c>
      <c r="F350" t="inlineStr">
        <is>
          <t>JÖNKÖPINGS LÄN</t>
        </is>
      </c>
      <c r="G350" t="inlineStr">
        <is>
          <t>VAGGERYD</t>
        </is>
      </c>
      <c r="I350" t="n">
        <v>4.3</v>
      </c>
      <c r="J350" t="n">
        <v>0</v>
      </c>
      <c r="K350" t="n">
        <v>0</v>
      </c>
      <c r="L350" t="n">
        <v>0</v>
      </c>
      <c r="M350" t="n">
        <v>0</v>
      </c>
      <c r="N350" t="n">
        <v>0</v>
      </c>
      <c r="O350" t="n">
        <v>0</v>
      </c>
      <c r="P350" t="n">
        <v>0</v>
      </c>
      <c r="Q350" t="n">
        <v>0</v>
      </c>
      <c r="R350" t="n">
        <v>0</v>
      </c>
      <c r="S350" t="n">
        <v>0</v>
      </c>
      <c r="T350" t="n">
        <v>0</v>
      </c>
      <c r="U350" s="2" t="inlineStr"/>
    </row>
    <row r="351" ht="15" customHeight="1">
      <c r="A351" t="inlineStr">
        <is>
          <t>A 62879-2025</t>
        </is>
      </c>
      <c r="B351" t="inlineStr">
        <is>
          <t>avverkningsanmälan</t>
        </is>
      </c>
      <c r="C351" t="inlineStr">
        <is>
          <t>Föryngringsavverkning</t>
        </is>
      </c>
      <c r="D351" s="1" t="n">
        <v>46008</v>
      </c>
      <c r="E351" s="1" t="n">
        <v>46218</v>
      </c>
      <c r="F351" t="inlineStr">
        <is>
          <t>JÖNKÖPINGS LÄN</t>
        </is>
      </c>
      <c r="G351" t="inlineStr">
        <is>
          <t>VAGGERYD</t>
        </is>
      </c>
      <c r="H351" t="inlineStr">
        <is>
          <t>Sveaskog</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26688-2024</t>
        </is>
      </c>
      <c r="B352" t="inlineStr">
        <is>
          <t>avverkningsanmälan</t>
        </is>
      </c>
      <c r="C352" t="inlineStr">
        <is>
          <t>Föryngringsavverkning</t>
        </is>
      </c>
      <c r="D352" s="1" t="n">
        <v>45469</v>
      </c>
      <c r="E352" s="1" t="n">
        <v>46218</v>
      </c>
      <c r="F352" t="inlineStr">
        <is>
          <t>JÖNKÖPINGS LÄN</t>
        </is>
      </c>
      <c r="G352" t="inlineStr">
        <is>
          <t>VAGGERYD</t>
        </is>
      </c>
      <c r="I352" t="n">
        <v>7.1</v>
      </c>
      <c r="J352" t="n">
        <v>0</v>
      </c>
      <c r="K352" t="n">
        <v>0</v>
      </c>
      <c r="L352" t="n">
        <v>0</v>
      </c>
      <c r="M352" t="n">
        <v>0</v>
      </c>
      <c r="N352" t="n">
        <v>0</v>
      </c>
      <c r="O352" t="n">
        <v>0</v>
      </c>
      <c r="P352" t="n">
        <v>0</v>
      </c>
      <c r="Q352" t="n">
        <v>0</v>
      </c>
      <c r="R352" t="n">
        <v>0</v>
      </c>
      <c r="S352" t="n">
        <v>0</v>
      </c>
      <c r="T352" t="n">
        <v>0</v>
      </c>
      <c r="U352" s="2" t="inlineStr"/>
    </row>
    <row r="353" ht="15" customHeight="1">
      <c r="A353" t="inlineStr">
        <is>
          <t>A 56467-2023</t>
        </is>
      </c>
      <c r="B353" t="inlineStr">
        <is>
          <t>avverkningsanmälan</t>
        </is>
      </c>
      <c r="C353" t="inlineStr">
        <is>
          <t>Föryngringsavverkning</t>
        </is>
      </c>
      <c r="D353" s="1" t="n">
        <v>45243</v>
      </c>
      <c r="E353" s="1" t="n">
        <v>46218</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27470-2026</t>
        </is>
      </c>
      <c r="B354" t="inlineStr">
        <is>
          <t>avverkningsanmälan</t>
        </is>
      </c>
      <c r="C354" t="inlineStr">
        <is>
          <t>Föryngringsavverkning</t>
        </is>
      </c>
      <c r="D354" s="1" t="n">
        <v>46189</v>
      </c>
      <c r="E354" s="1" t="n">
        <v>46218</v>
      </c>
      <c r="F354" t="inlineStr">
        <is>
          <t>JÖNKÖPINGS LÄN</t>
        </is>
      </c>
      <c r="G354" t="inlineStr">
        <is>
          <t>VAGGERYD</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27471-2026</t>
        </is>
      </c>
      <c r="B355" t="inlineStr">
        <is>
          <t>avverkningsanmälan</t>
        </is>
      </c>
      <c r="C355" t="inlineStr">
        <is>
          <t>Föryngringsavverkning</t>
        </is>
      </c>
      <c r="D355" s="1" t="n">
        <v>46189</v>
      </c>
      <c r="E355" s="1" t="n">
        <v>46218</v>
      </c>
      <c r="F355" t="inlineStr">
        <is>
          <t>JÖNKÖPINGS LÄN</t>
        </is>
      </c>
      <c r="G355" t="inlineStr">
        <is>
          <t>VAGGERYD</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35704-2024</t>
        </is>
      </c>
      <c r="B356" t="inlineStr">
        <is>
          <t>avverkningsanmälan</t>
        </is>
      </c>
      <c r="C356" t="inlineStr">
        <is>
          <t>Föryngringsavverkning</t>
        </is>
      </c>
      <c r="D356" s="1" t="n">
        <v>45532</v>
      </c>
      <c r="E356" s="1" t="n">
        <v>46218</v>
      </c>
      <c r="F356" t="inlineStr">
        <is>
          <t>JÖNKÖPINGS LÄN</t>
        </is>
      </c>
      <c r="G356" t="inlineStr">
        <is>
          <t>VAGGERYD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31017-2024</t>
        </is>
      </c>
      <c r="B357" t="inlineStr">
        <is>
          <t>avverkningsanmälan</t>
        </is>
      </c>
      <c r="C357" t="inlineStr">
        <is>
          <t>Föryngringsavverkning</t>
        </is>
      </c>
      <c r="D357" s="1" t="n">
        <v>45499</v>
      </c>
      <c r="E357" s="1" t="n">
        <v>46218</v>
      </c>
      <c r="F357" t="inlineStr">
        <is>
          <t>JÖNKÖPINGS LÄN</t>
        </is>
      </c>
      <c r="G357" t="inlineStr">
        <is>
          <t>VAGGERYD</t>
        </is>
      </c>
      <c r="H357" t="inlineStr">
        <is>
          <t>Sveaskog</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10590-2023</t>
        </is>
      </c>
      <c r="B358" t="inlineStr">
        <is>
          <t>avverkningsanmälan</t>
        </is>
      </c>
      <c r="C358" t="inlineStr">
        <is>
          <t>Föryngringsavverkning</t>
        </is>
      </c>
      <c r="D358" s="1" t="n">
        <v>44988</v>
      </c>
      <c r="E358" s="1" t="n">
        <v>46218</v>
      </c>
      <c r="F358" t="inlineStr">
        <is>
          <t>JÖNKÖPINGS LÄN</t>
        </is>
      </c>
      <c r="G358" t="inlineStr">
        <is>
          <t>VAGGERYD</t>
        </is>
      </c>
      <c r="I358" t="n">
        <v>4.1</v>
      </c>
      <c r="J358" t="n">
        <v>0</v>
      </c>
      <c r="K358" t="n">
        <v>0</v>
      </c>
      <c r="L358" t="n">
        <v>0</v>
      </c>
      <c r="M358" t="n">
        <v>0</v>
      </c>
      <c r="N358" t="n">
        <v>0</v>
      </c>
      <c r="O358" t="n">
        <v>0</v>
      </c>
      <c r="P358" t="n">
        <v>0</v>
      </c>
      <c r="Q358" t="n">
        <v>0</v>
      </c>
      <c r="R358" t="n">
        <v>0</v>
      </c>
      <c r="S358" t="n">
        <v>0</v>
      </c>
      <c r="T358" t="n">
        <v>0</v>
      </c>
      <c r="U358" s="2" t="inlineStr"/>
    </row>
    <row r="359" ht="15" customHeight="1">
      <c r="A359" t="inlineStr">
        <is>
          <t>A 63618-2025</t>
        </is>
      </c>
      <c r="B359" t="inlineStr">
        <is>
          <t>avverkningsanmälan</t>
        </is>
      </c>
      <c r="C359" t="inlineStr">
        <is>
          <t>Föryngringsavverkning</t>
        </is>
      </c>
      <c r="D359" s="1" t="n">
        <v>46014</v>
      </c>
      <c r="E359" s="1" t="n">
        <v>46218</v>
      </c>
      <c r="F359" t="inlineStr">
        <is>
          <t>JÖNKÖPINGS LÄN</t>
        </is>
      </c>
      <c r="G359" t="inlineStr">
        <is>
          <t>VAGGERYD</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7183-2023</t>
        </is>
      </c>
      <c r="B360" t="inlineStr">
        <is>
          <t>avverkningsanmälan</t>
        </is>
      </c>
      <c r="C360" t="inlineStr">
        <is>
          <t>Föryngringsavverkning</t>
        </is>
      </c>
      <c r="D360" s="1" t="n">
        <v>44965</v>
      </c>
      <c r="E360" s="1" t="n">
        <v>46218</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60366-2021</t>
        </is>
      </c>
      <c r="B361" t="inlineStr">
        <is>
          <t>avverkningsanmälan</t>
        </is>
      </c>
      <c r="C361" t="inlineStr">
        <is>
          <t>Föryngringsavverkning</t>
        </is>
      </c>
      <c r="D361" s="1" t="n">
        <v>44496</v>
      </c>
      <c r="E361" s="1" t="n">
        <v>46218</v>
      </c>
      <c r="F361" t="inlineStr">
        <is>
          <t>JÖNKÖPINGS LÄN</t>
        </is>
      </c>
      <c r="G361" t="inlineStr">
        <is>
          <t>VAGGERYD</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612-2026</t>
        </is>
      </c>
      <c r="B362" t="inlineStr">
        <is>
          <t>avverkningsanmälan</t>
        </is>
      </c>
      <c r="C362" t="inlineStr">
        <is>
          <t>Föryngringsavverkning</t>
        </is>
      </c>
      <c r="D362" s="1" t="n">
        <v>46029</v>
      </c>
      <c r="E362" s="1" t="n">
        <v>46218</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24993-2023</t>
        </is>
      </c>
      <c r="B363" t="inlineStr">
        <is>
          <t>avverkningsanmälan</t>
        </is>
      </c>
      <c r="C363" t="inlineStr">
        <is>
          <t>Föryngringsavverkning</t>
        </is>
      </c>
      <c r="D363" s="1" t="n">
        <v>45085</v>
      </c>
      <c r="E363" s="1" t="n">
        <v>46218</v>
      </c>
      <c r="F363" t="inlineStr">
        <is>
          <t>JÖNKÖPINGS LÄN</t>
        </is>
      </c>
      <c r="G363" t="inlineStr">
        <is>
          <t>VAGGERYD</t>
        </is>
      </c>
      <c r="H363" t="inlineStr">
        <is>
          <t>Sveaskog</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71512-2021</t>
        </is>
      </c>
      <c r="B364" t="inlineStr">
        <is>
          <t>avverkningsanmälan</t>
        </is>
      </c>
      <c r="C364" t="inlineStr">
        <is>
          <t>Föryngringsavverkning</t>
        </is>
      </c>
      <c r="D364" s="1" t="n">
        <v>44540</v>
      </c>
      <c r="E364" s="1" t="n">
        <v>46218</v>
      </c>
      <c r="F364" t="inlineStr">
        <is>
          <t>JÖNKÖPINGS LÄN</t>
        </is>
      </c>
      <c r="G364" t="inlineStr">
        <is>
          <t>VAGGERYD</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49521-2023</t>
        </is>
      </c>
      <c r="B365" t="inlineStr">
        <is>
          <t>avverkningsanmälan</t>
        </is>
      </c>
      <c r="C365" t="inlineStr">
        <is>
          <t>Föryngringsavverkning</t>
        </is>
      </c>
      <c r="D365" s="1" t="n">
        <v>45211</v>
      </c>
      <c r="E365" s="1" t="n">
        <v>46218</v>
      </c>
      <c r="F365" t="inlineStr">
        <is>
          <t>JÖNKÖPINGS LÄN</t>
        </is>
      </c>
      <c r="G365" t="inlineStr">
        <is>
          <t>VAGGERYD</t>
        </is>
      </c>
      <c r="H365" t="inlineStr">
        <is>
          <t>Sveaskog</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15423-2024</t>
        </is>
      </c>
      <c r="B366" t="inlineStr">
        <is>
          <t>avverkningsanmälan</t>
        </is>
      </c>
      <c r="C366" t="inlineStr">
        <is>
          <t>Föryngringsavverkning</t>
        </is>
      </c>
      <c r="D366" s="1" t="n">
        <v>45401</v>
      </c>
      <c r="E366" s="1" t="n">
        <v>46218</v>
      </c>
      <c r="F366" t="inlineStr">
        <is>
          <t>JÖNKÖPINGS LÄN</t>
        </is>
      </c>
      <c r="G366" t="inlineStr">
        <is>
          <t>VAGGERYD</t>
        </is>
      </c>
      <c r="I366" t="n">
        <v>6.6</v>
      </c>
      <c r="J366" t="n">
        <v>0</v>
      </c>
      <c r="K366" t="n">
        <v>0</v>
      </c>
      <c r="L366" t="n">
        <v>0</v>
      </c>
      <c r="M366" t="n">
        <v>0</v>
      </c>
      <c r="N366" t="n">
        <v>0</v>
      </c>
      <c r="O366" t="n">
        <v>0</v>
      </c>
      <c r="P366" t="n">
        <v>0</v>
      </c>
      <c r="Q366" t="n">
        <v>0</v>
      </c>
      <c r="R366" t="n">
        <v>0</v>
      </c>
      <c r="S366" t="n">
        <v>0</v>
      </c>
      <c r="T366" t="n">
        <v>0</v>
      </c>
      <c r="U366" s="2" t="inlineStr"/>
    </row>
    <row r="367" ht="15" customHeight="1">
      <c r="A367" t="inlineStr">
        <is>
          <t>A 46883-2024</t>
        </is>
      </c>
      <c r="B367" t="inlineStr">
        <is>
          <t>avverkningsanmälan</t>
        </is>
      </c>
      <c r="C367" t="inlineStr">
        <is>
          <t>Föryngringsavverkning</t>
        </is>
      </c>
      <c r="D367" s="1" t="n">
        <v>45583</v>
      </c>
      <c r="E367" s="1" t="n">
        <v>46218</v>
      </c>
      <c r="F367" t="inlineStr">
        <is>
          <t>JÖNKÖPINGS LÄN</t>
        </is>
      </c>
      <c r="G367" t="inlineStr">
        <is>
          <t>VAGGERYD</t>
        </is>
      </c>
      <c r="I367" t="n">
        <v>0.3</v>
      </c>
      <c r="J367" t="n">
        <v>0</v>
      </c>
      <c r="K367" t="n">
        <v>0</v>
      </c>
      <c r="L367" t="n">
        <v>0</v>
      </c>
      <c r="M367" t="n">
        <v>0</v>
      </c>
      <c r="N367" t="n">
        <v>0</v>
      </c>
      <c r="O367" t="n">
        <v>0</v>
      </c>
      <c r="P367" t="n">
        <v>0</v>
      </c>
      <c r="Q367" t="n">
        <v>0</v>
      </c>
      <c r="R367" t="n">
        <v>0</v>
      </c>
      <c r="S367" t="n">
        <v>0</v>
      </c>
      <c r="T367" t="n">
        <v>0</v>
      </c>
      <c r="U367" s="2" t="inlineStr"/>
    </row>
    <row r="368" ht="15" customHeight="1">
      <c r="A368" t="inlineStr">
        <is>
          <t>A 1397-2026</t>
        </is>
      </c>
      <c r="B368" t="inlineStr">
        <is>
          <t>avverkningsanmälan</t>
        </is>
      </c>
      <c r="C368" t="inlineStr">
        <is>
          <t>Avverkning för att bevara och utveckla /försöksver</t>
        </is>
      </c>
      <c r="D368" s="1" t="n">
        <v>46031</v>
      </c>
      <c r="E368" s="1" t="n">
        <v>46218</v>
      </c>
      <c r="F368" t="inlineStr">
        <is>
          <t>JÖNKÖPINGS LÄN</t>
        </is>
      </c>
      <c r="G368" t="inlineStr">
        <is>
          <t>VAGGERYD</t>
        </is>
      </c>
      <c r="H368" t="inlineStr">
        <is>
          <t>Sveaskog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16221-2023</t>
        </is>
      </c>
      <c r="B369" t="inlineStr">
        <is>
          <t>avverkningsanmälan</t>
        </is>
      </c>
      <c r="C369" t="inlineStr">
        <is>
          <t>Föryngringsavverkning</t>
        </is>
      </c>
      <c r="D369" s="1" t="n">
        <v>45028</v>
      </c>
      <c r="E369" s="1" t="n">
        <v>46218</v>
      </c>
      <c r="F369" t="inlineStr">
        <is>
          <t>JÖNKÖPINGS LÄN</t>
        </is>
      </c>
      <c r="G369" t="inlineStr">
        <is>
          <t>VAGGERYD</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2796-2024</t>
        </is>
      </c>
      <c r="B370" t="inlineStr">
        <is>
          <t>avverkningsanmälan</t>
        </is>
      </c>
      <c r="C370" t="inlineStr">
        <is>
          <t>Föryngringsavverkning</t>
        </is>
      </c>
      <c r="D370" s="1" t="n">
        <v>45314</v>
      </c>
      <c r="E370" s="1" t="n">
        <v>46218</v>
      </c>
      <c r="F370" t="inlineStr">
        <is>
          <t>JÖNKÖPINGS LÄN</t>
        </is>
      </c>
      <c r="G370" t="inlineStr">
        <is>
          <t>VAGGERYD</t>
        </is>
      </c>
      <c r="I370" t="n">
        <v>4.3</v>
      </c>
      <c r="J370" t="n">
        <v>0</v>
      </c>
      <c r="K370" t="n">
        <v>0</v>
      </c>
      <c r="L370" t="n">
        <v>0</v>
      </c>
      <c r="M370" t="n">
        <v>0</v>
      </c>
      <c r="N370" t="n">
        <v>0</v>
      </c>
      <c r="O370" t="n">
        <v>0</v>
      </c>
      <c r="P370" t="n">
        <v>0</v>
      </c>
      <c r="Q370" t="n">
        <v>0</v>
      </c>
      <c r="R370" t="n">
        <v>0</v>
      </c>
      <c r="S370" t="n">
        <v>0</v>
      </c>
      <c r="T370" t="n">
        <v>0</v>
      </c>
      <c r="U370" s="2" t="inlineStr"/>
    </row>
    <row r="371" ht="15" customHeight="1">
      <c r="A371" t="inlineStr">
        <is>
          <t>A 1477-2026</t>
        </is>
      </c>
      <c r="B371" t="inlineStr">
        <is>
          <t>avverkningsanmälan</t>
        </is>
      </c>
      <c r="C371" t="inlineStr">
        <is>
          <t>Föryngringsavverkning</t>
        </is>
      </c>
      <c r="D371" s="1" t="n">
        <v>46033</v>
      </c>
      <c r="E371" s="1" t="n">
        <v>46218</v>
      </c>
      <c r="F371" t="inlineStr">
        <is>
          <t>JÖNKÖPINGS LÄN</t>
        </is>
      </c>
      <c r="G371" t="inlineStr">
        <is>
          <t>VAGGERYD</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8538-2024</t>
        </is>
      </c>
      <c r="B372" t="inlineStr">
        <is>
          <t>avverkningsanmälan</t>
        </is>
      </c>
      <c r="C372" t="inlineStr">
        <is>
          <t>Föryngringsavverkning</t>
        </is>
      </c>
      <c r="D372" s="1" t="n">
        <v>45355</v>
      </c>
      <c r="E372" s="1" t="n">
        <v>46218</v>
      </c>
      <c r="F372" t="inlineStr">
        <is>
          <t>JÖNKÖPINGS LÄN</t>
        </is>
      </c>
      <c r="G372" t="inlineStr">
        <is>
          <t>VAGGERYD</t>
        </is>
      </c>
      <c r="H372" t="inlineStr">
        <is>
          <t>Sveaskog</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2883-2024</t>
        </is>
      </c>
      <c r="B373" t="inlineStr">
        <is>
          <t>avverkningsanmälan</t>
        </is>
      </c>
      <c r="C373" t="inlineStr">
        <is>
          <t>Avverkning för annat ändamål</t>
        </is>
      </c>
      <c r="D373" s="1" t="n">
        <v>45315</v>
      </c>
      <c r="E373" s="1" t="n">
        <v>46218</v>
      </c>
      <c r="F373" t="inlineStr">
        <is>
          <t>JÖNKÖPINGS LÄN</t>
        </is>
      </c>
      <c r="G373" t="inlineStr">
        <is>
          <t>VAGGERYD</t>
        </is>
      </c>
      <c r="I373" t="n">
        <v>12.2</v>
      </c>
      <c r="J373" t="n">
        <v>0</v>
      </c>
      <c r="K373" t="n">
        <v>0</v>
      </c>
      <c r="L373" t="n">
        <v>0</v>
      </c>
      <c r="M373" t="n">
        <v>0</v>
      </c>
      <c r="N373" t="n">
        <v>0</v>
      </c>
      <c r="O373" t="n">
        <v>0</v>
      </c>
      <c r="P373" t="n">
        <v>0</v>
      </c>
      <c r="Q373" t="n">
        <v>0</v>
      </c>
      <c r="R373" t="n">
        <v>0</v>
      </c>
      <c r="S373" t="n">
        <v>0</v>
      </c>
      <c r="T373" t="n">
        <v>0</v>
      </c>
      <c r="U373" s="2" t="inlineStr"/>
    </row>
    <row r="374" ht="15" customHeight="1">
      <c r="A374" t="inlineStr">
        <is>
          <t>A 14399-2023</t>
        </is>
      </c>
      <c r="B374" t="inlineStr">
        <is>
          <t>avverkningsanmälan</t>
        </is>
      </c>
      <c r="C374" t="inlineStr">
        <is>
          <t>Föryngringsavverkning</t>
        </is>
      </c>
      <c r="D374" s="1" t="n">
        <v>45012</v>
      </c>
      <c r="E374" s="1" t="n">
        <v>46218</v>
      </c>
      <c r="F374" t="inlineStr">
        <is>
          <t>JÖNKÖPINGS LÄN</t>
        </is>
      </c>
      <c r="G374" t="inlineStr">
        <is>
          <t>VAGGERYD</t>
        </is>
      </c>
      <c r="I374" t="n">
        <v>5.3</v>
      </c>
      <c r="J374" t="n">
        <v>0</v>
      </c>
      <c r="K374" t="n">
        <v>0</v>
      </c>
      <c r="L374" t="n">
        <v>0</v>
      </c>
      <c r="M374" t="n">
        <v>0</v>
      </c>
      <c r="N374" t="n">
        <v>0</v>
      </c>
      <c r="O374" t="n">
        <v>0</v>
      </c>
      <c r="P374" t="n">
        <v>0</v>
      </c>
      <c r="Q374" t="n">
        <v>0</v>
      </c>
      <c r="R374" t="n">
        <v>0</v>
      </c>
      <c r="S374" t="n">
        <v>0</v>
      </c>
      <c r="T374" t="n">
        <v>0</v>
      </c>
      <c r="U374" s="2" t="inlineStr"/>
    </row>
    <row r="375" ht="15" customHeight="1">
      <c r="A375" t="inlineStr">
        <is>
          <t>A 35051-2025</t>
        </is>
      </c>
      <c r="B375" t="inlineStr">
        <is>
          <t>avverkningsanmälan</t>
        </is>
      </c>
      <c r="C375" t="inlineStr">
        <is>
          <t>Föryngringsavverkning</t>
        </is>
      </c>
      <c r="D375" s="1" t="n">
        <v>45852</v>
      </c>
      <c r="E375" s="1" t="n">
        <v>46218</v>
      </c>
      <c r="F375" t="inlineStr">
        <is>
          <t>JÖNKÖPINGS LÄN</t>
        </is>
      </c>
      <c r="G375" t="inlineStr">
        <is>
          <t>VAGGERYD</t>
        </is>
      </c>
      <c r="I375" t="n">
        <v>5.5</v>
      </c>
      <c r="J375" t="n">
        <v>0</v>
      </c>
      <c r="K375" t="n">
        <v>0</v>
      </c>
      <c r="L375" t="n">
        <v>0</v>
      </c>
      <c r="M375" t="n">
        <v>0</v>
      </c>
      <c r="N375" t="n">
        <v>0</v>
      </c>
      <c r="O375" t="n">
        <v>0</v>
      </c>
      <c r="P375" t="n">
        <v>0</v>
      </c>
      <c r="Q375" t="n">
        <v>0</v>
      </c>
      <c r="R375" t="n">
        <v>0</v>
      </c>
      <c r="S375" t="n">
        <v>0</v>
      </c>
      <c r="T375" t="n">
        <v>0</v>
      </c>
      <c r="U375" s="2" t="inlineStr"/>
    </row>
    <row r="376" ht="15" customHeight="1">
      <c r="A376" t="inlineStr">
        <is>
          <t>A 35459-2024</t>
        </is>
      </c>
      <c r="B376" t="inlineStr">
        <is>
          <t>avverkningsanmälan</t>
        </is>
      </c>
      <c r="C376" t="inlineStr">
        <is>
          <t>Föryngringsavverkning</t>
        </is>
      </c>
      <c r="D376" s="1" t="n">
        <v>45531</v>
      </c>
      <c r="E376" s="1" t="n">
        <v>46218</v>
      </c>
      <c r="F376" t="inlineStr">
        <is>
          <t>JÖNKÖPINGS LÄN</t>
        </is>
      </c>
      <c r="G376" t="inlineStr">
        <is>
          <t>VAGGERYD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41744-2024</t>
        </is>
      </c>
      <c r="B377" t="inlineStr">
        <is>
          <t>avverkningsanmälan</t>
        </is>
      </c>
      <c r="C377" t="inlineStr">
        <is>
          <t>Föryngringsavverkning</t>
        </is>
      </c>
      <c r="D377" s="1" t="n">
        <v>45561</v>
      </c>
      <c r="E377" s="1" t="n">
        <v>46218</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563-2023</t>
        </is>
      </c>
      <c r="B378" t="inlineStr">
        <is>
          <t>avverkningsanmälan</t>
        </is>
      </c>
      <c r="C378" t="inlineStr">
        <is>
          <t>Föryngringsavverkning</t>
        </is>
      </c>
      <c r="D378" s="1" t="n">
        <v>44930</v>
      </c>
      <c r="E378" s="1" t="n">
        <v>46218</v>
      </c>
      <c r="F378" t="inlineStr">
        <is>
          <t>JÖNKÖPINGS LÄN</t>
        </is>
      </c>
      <c r="G378" t="inlineStr">
        <is>
          <t>VAGGERYD</t>
        </is>
      </c>
      <c r="I378" t="n">
        <v>7</v>
      </c>
      <c r="J378" t="n">
        <v>0</v>
      </c>
      <c r="K378" t="n">
        <v>0</v>
      </c>
      <c r="L378" t="n">
        <v>0</v>
      </c>
      <c r="M378" t="n">
        <v>0</v>
      </c>
      <c r="N378" t="n">
        <v>0</v>
      </c>
      <c r="O378" t="n">
        <v>0</v>
      </c>
      <c r="P378" t="n">
        <v>0</v>
      </c>
      <c r="Q378" t="n">
        <v>0</v>
      </c>
      <c r="R378" t="n">
        <v>0</v>
      </c>
      <c r="S378" t="n">
        <v>0</v>
      </c>
      <c r="T378" t="n">
        <v>0</v>
      </c>
      <c r="U378" s="2" t="inlineStr"/>
    </row>
    <row r="379" ht="15" customHeight="1">
      <c r="A379" t="inlineStr">
        <is>
          <t>A 58600-2024</t>
        </is>
      </c>
      <c r="B379" t="inlineStr">
        <is>
          <t>avverkningsanmälan</t>
        </is>
      </c>
      <c r="C379" t="inlineStr">
        <is>
          <t>Föryngringsavverkning</t>
        </is>
      </c>
      <c r="D379" s="1" t="n">
        <v>45635</v>
      </c>
      <c r="E379" s="1" t="n">
        <v>46218</v>
      </c>
      <c r="F379" t="inlineStr">
        <is>
          <t>JÖNKÖPINGS LÄN</t>
        </is>
      </c>
      <c r="G379" t="inlineStr">
        <is>
          <t>VAGGERYD</t>
        </is>
      </c>
      <c r="H379" t="inlineStr">
        <is>
          <t>Sveaskog</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58607-2024</t>
        </is>
      </c>
      <c r="B380" t="inlineStr">
        <is>
          <t>avverkningsanmälan</t>
        </is>
      </c>
      <c r="C380" t="inlineStr">
        <is>
          <t>Föryngringsavverkning</t>
        </is>
      </c>
      <c r="D380" s="1" t="n">
        <v>45635</v>
      </c>
      <c r="E380" s="1" t="n">
        <v>46218</v>
      </c>
      <c r="F380" t="inlineStr">
        <is>
          <t>JÖNKÖPINGS LÄN</t>
        </is>
      </c>
      <c r="G380" t="inlineStr">
        <is>
          <t>VAGGERYD</t>
        </is>
      </c>
      <c r="H380" t="inlineStr">
        <is>
          <t>Sveaskog</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4188-2023</t>
        </is>
      </c>
      <c r="B381" t="inlineStr">
        <is>
          <t>avverkningsanmälan</t>
        </is>
      </c>
      <c r="C381" t="inlineStr">
        <is>
          <t>Föryngringsavverkning</t>
        </is>
      </c>
      <c r="D381" s="1" t="n">
        <v>44953</v>
      </c>
      <c r="E381" s="1" t="n">
        <v>46218</v>
      </c>
      <c r="F381" t="inlineStr">
        <is>
          <t>JÖNKÖPINGS LÄN</t>
        </is>
      </c>
      <c r="G381" t="inlineStr">
        <is>
          <t>VAGGERYD</t>
        </is>
      </c>
      <c r="H381" t="inlineStr">
        <is>
          <t>Sveaskog</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58756-2022</t>
        </is>
      </c>
      <c r="B382" t="inlineStr">
        <is>
          <t>avverkningsanmälan</t>
        </is>
      </c>
      <c r="C382" t="inlineStr">
        <is>
          <t>Föryngringsavverkning</t>
        </is>
      </c>
      <c r="D382" s="1" t="n">
        <v>44903</v>
      </c>
      <c r="E382" s="1" t="n">
        <v>46218</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29308-2026</t>
        </is>
      </c>
      <c r="B383" t="inlineStr">
        <is>
          <t>avverkningsanmälan</t>
        </is>
      </c>
      <c r="C383" t="inlineStr">
        <is>
          <t>Föryngringsavverkning</t>
        </is>
      </c>
      <c r="D383" s="1" t="n">
        <v>46202</v>
      </c>
      <c r="E383" s="1" t="n">
        <v>46218</v>
      </c>
      <c r="F383" t="inlineStr">
        <is>
          <t>JÖNKÖPINGS LÄN</t>
        </is>
      </c>
      <c r="G383" t="inlineStr">
        <is>
          <t>VAGGERYD</t>
        </is>
      </c>
      <c r="I383" t="n">
        <v>4.4</v>
      </c>
      <c r="J383" t="n">
        <v>0</v>
      </c>
      <c r="K383" t="n">
        <v>0</v>
      </c>
      <c r="L383" t="n">
        <v>0</v>
      </c>
      <c r="M383" t="n">
        <v>0</v>
      </c>
      <c r="N383" t="n">
        <v>0</v>
      </c>
      <c r="O383" t="n">
        <v>0</v>
      </c>
      <c r="P383" t="n">
        <v>0</v>
      </c>
      <c r="Q383" t="n">
        <v>0</v>
      </c>
      <c r="R383" t="n">
        <v>0</v>
      </c>
      <c r="S383" t="n">
        <v>0</v>
      </c>
      <c r="T383" t="n">
        <v>0</v>
      </c>
      <c r="U383" s="2" t="inlineStr"/>
    </row>
    <row r="384" ht="15" customHeight="1">
      <c r="A384" t="inlineStr">
        <is>
          <t>A 36318-2023</t>
        </is>
      </c>
      <c r="B384" t="inlineStr">
        <is>
          <t>avverkningsanmälan</t>
        </is>
      </c>
      <c r="C384" t="inlineStr">
        <is>
          <t>Avverkning för annat ändamål</t>
        </is>
      </c>
      <c r="D384" s="1" t="n">
        <v>45149</v>
      </c>
      <c r="E384" s="1" t="n">
        <v>46218</v>
      </c>
      <c r="F384" t="inlineStr">
        <is>
          <t>JÖNKÖPINGS LÄN</t>
        </is>
      </c>
      <c r="G384" t="inlineStr">
        <is>
          <t>VAGGERYD</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22898-2026</t>
        </is>
      </c>
      <c r="B385" t="inlineStr">
        <is>
          <t>avverkningsanmälan</t>
        </is>
      </c>
      <c r="C385" t="inlineStr">
        <is>
          <t>Föryngringsavverkning</t>
        </is>
      </c>
      <c r="D385" s="1" t="n">
        <v>46160</v>
      </c>
      <c r="E385" s="1" t="n">
        <v>46218</v>
      </c>
      <c r="F385" t="inlineStr">
        <is>
          <t>JÖNKÖPINGS LÄN</t>
        </is>
      </c>
      <c r="G385" t="inlineStr">
        <is>
          <t>VAGGERYD</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22826-2026</t>
        </is>
      </c>
      <c r="B386" t="inlineStr">
        <is>
          <t>avverkningsanmälan</t>
        </is>
      </c>
      <c r="C386" t="inlineStr">
        <is>
          <t>Föryngringsavverkning</t>
        </is>
      </c>
      <c r="D386" s="1" t="n">
        <v>46160</v>
      </c>
      <c r="E386" s="1" t="n">
        <v>46218</v>
      </c>
      <c r="F386" t="inlineStr">
        <is>
          <t>JÖNKÖPINGS LÄN</t>
        </is>
      </c>
      <c r="G386" t="inlineStr">
        <is>
          <t>VAGGERYD</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12664-2022</t>
        </is>
      </c>
      <c r="B387" t="inlineStr">
        <is>
          <t>avverkningsanmälan</t>
        </is>
      </c>
      <c r="C387" t="inlineStr">
        <is>
          <t>Avverkning för annat ändamål</t>
        </is>
      </c>
      <c r="D387" s="1" t="n">
        <v>44641</v>
      </c>
      <c r="E387" s="1" t="n">
        <v>46218</v>
      </c>
      <c r="F387" t="inlineStr">
        <is>
          <t>JÖNKÖPINGS LÄN</t>
        </is>
      </c>
      <c r="G387" t="inlineStr">
        <is>
          <t>VAGGERYD</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58627-2024</t>
        </is>
      </c>
      <c r="B388" t="inlineStr">
        <is>
          <t>avverkningsanmälan</t>
        </is>
      </c>
      <c r="C388" t="inlineStr">
        <is>
          <t>Föryngringsavverkning</t>
        </is>
      </c>
      <c r="D388" s="1" t="n">
        <v>45635</v>
      </c>
      <c r="E388" s="1" t="n">
        <v>46218</v>
      </c>
      <c r="F388" t="inlineStr">
        <is>
          <t>JÖNKÖPINGS LÄN</t>
        </is>
      </c>
      <c r="G388" t="inlineStr">
        <is>
          <t>VAGGERYD</t>
        </is>
      </c>
      <c r="H388" t="inlineStr">
        <is>
          <t>Sveaskog</t>
        </is>
      </c>
      <c r="I388" t="n">
        <v>8</v>
      </c>
      <c r="J388" t="n">
        <v>0</v>
      </c>
      <c r="K388" t="n">
        <v>0</v>
      </c>
      <c r="L388" t="n">
        <v>0</v>
      </c>
      <c r="M388" t="n">
        <v>0</v>
      </c>
      <c r="N388" t="n">
        <v>0</v>
      </c>
      <c r="O388" t="n">
        <v>0</v>
      </c>
      <c r="P388" t="n">
        <v>0</v>
      </c>
      <c r="Q388" t="n">
        <v>0</v>
      </c>
      <c r="R388" t="n">
        <v>0</v>
      </c>
      <c r="S388" t="n">
        <v>0</v>
      </c>
      <c r="T388" t="n">
        <v>0</v>
      </c>
      <c r="U388" s="2" t="inlineStr"/>
    </row>
    <row r="389" ht="15" customHeight="1">
      <c r="A389" t="inlineStr">
        <is>
          <t>A 22833-2026</t>
        </is>
      </c>
      <c r="B389" t="inlineStr">
        <is>
          <t>avverkningsanmälan</t>
        </is>
      </c>
      <c r="C389" t="inlineStr">
        <is>
          <t>Föryngringsavverkning</t>
        </is>
      </c>
      <c r="D389" s="1" t="n">
        <v>46160</v>
      </c>
      <c r="E389" s="1" t="n">
        <v>46218</v>
      </c>
      <c r="F389" t="inlineStr">
        <is>
          <t>JÖNKÖPINGS LÄN</t>
        </is>
      </c>
      <c r="G389" t="inlineStr">
        <is>
          <t>VAGGERYD</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22823-2026</t>
        </is>
      </c>
      <c r="B390" t="inlineStr">
        <is>
          <t>avverkningsanmälan</t>
        </is>
      </c>
      <c r="C390" t="inlineStr">
        <is>
          <t>Föryngringsavverkning</t>
        </is>
      </c>
      <c r="D390" s="1" t="n">
        <v>46160</v>
      </c>
      <c r="E390" s="1" t="n">
        <v>46218</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6460-2026</t>
        </is>
      </c>
      <c r="B391" t="inlineStr">
        <is>
          <t>avverkningsanmälan</t>
        </is>
      </c>
      <c r="C391" t="inlineStr">
        <is>
          <t>Föryngringsavverkning</t>
        </is>
      </c>
      <c r="D391" s="1" t="n">
        <v>46056</v>
      </c>
      <c r="E391" s="1" t="n">
        <v>46218</v>
      </c>
      <c r="F391" t="inlineStr">
        <is>
          <t>JÖNKÖPINGS LÄN</t>
        </is>
      </c>
      <c r="G391" t="inlineStr">
        <is>
          <t>VAGGERYD</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6510-2026</t>
        </is>
      </c>
      <c r="B392" t="inlineStr">
        <is>
          <t>avverkningsanmälan</t>
        </is>
      </c>
      <c r="C392" t="inlineStr">
        <is>
          <t>Föryngringsavverkning</t>
        </is>
      </c>
      <c r="D392" s="1" t="n">
        <v>46056</v>
      </c>
      <c r="E392" s="1" t="n">
        <v>46218</v>
      </c>
      <c r="F392" t="inlineStr">
        <is>
          <t>JÖNKÖPINGS LÄN</t>
        </is>
      </c>
      <c r="G392" t="inlineStr">
        <is>
          <t>VAGGERYD</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6509-2026</t>
        </is>
      </c>
      <c r="B393" t="inlineStr">
        <is>
          <t>avverkningsanmälan</t>
        </is>
      </c>
      <c r="C393" t="inlineStr">
        <is>
          <t>Föryngringsavverkning</t>
        </is>
      </c>
      <c r="D393" s="1" t="n">
        <v>46056</v>
      </c>
      <c r="E393" s="1" t="n">
        <v>46218</v>
      </c>
      <c r="F393" t="inlineStr">
        <is>
          <t>JÖNKÖPINGS LÄN</t>
        </is>
      </c>
      <c r="G393" t="inlineStr">
        <is>
          <t>VAGGERYD</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6451-2026</t>
        </is>
      </c>
      <c r="B394" t="inlineStr">
        <is>
          <t>avverkningsanmälan</t>
        </is>
      </c>
      <c r="C394" t="inlineStr">
        <is>
          <t>Föryngringsavverkning</t>
        </is>
      </c>
      <c r="D394" s="1" t="n">
        <v>46055</v>
      </c>
      <c r="E394" s="1" t="n">
        <v>46218</v>
      </c>
      <c r="F394" t="inlineStr">
        <is>
          <t>JÖNKÖPINGS LÄN</t>
        </is>
      </c>
      <c r="G394" t="inlineStr">
        <is>
          <t>VAGGERYD</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6452-2026</t>
        </is>
      </c>
      <c r="B395" t="inlineStr">
        <is>
          <t>avverkningsanmälan</t>
        </is>
      </c>
      <c r="C395" t="inlineStr">
        <is>
          <t>Föryngringsavverkning</t>
        </is>
      </c>
      <c r="D395" s="1" t="n">
        <v>46055</v>
      </c>
      <c r="E395" s="1" t="n">
        <v>46218</v>
      </c>
      <c r="F395" t="inlineStr">
        <is>
          <t>JÖNKÖPINGS LÄN</t>
        </is>
      </c>
      <c r="G395" t="inlineStr">
        <is>
          <t>VAGGERYD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6450-2026</t>
        </is>
      </c>
      <c r="B396" t="inlineStr">
        <is>
          <t>avverkningsanmälan</t>
        </is>
      </c>
      <c r="C396" t="inlineStr">
        <is>
          <t>Föryngringsavverkning</t>
        </is>
      </c>
      <c r="D396" s="1" t="n">
        <v>46055</v>
      </c>
      <c r="E396" s="1" t="n">
        <v>46218</v>
      </c>
      <c r="F396" t="inlineStr">
        <is>
          <t>JÖNKÖPINGS LÄN</t>
        </is>
      </c>
      <c r="G396" t="inlineStr">
        <is>
          <t>VAGGERYD</t>
        </is>
      </c>
      <c r="I396" t="n">
        <v>2.5</v>
      </c>
      <c r="J396" t="n">
        <v>0</v>
      </c>
      <c r="K396" t="n">
        <v>0</v>
      </c>
      <c r="L396" t="n">
        <v>0</v>
      </c>
      <c r="M396" t="n">
        <v>0</v>
      </c>
      <c r="N396" t="n">
        <v>0</v>
      </c>
      <c r="O396" t="n">
        <v>0</v>
      </c>
      <c r="P396" t="n">
        <v>0</v>
      </c>
      <c r="Q396" t="n">
        <v>0</v>
      </c>
      <c r="R396" t="n">
        <v>0</v>
      </c>
      <c r="S396" t="n">
        <v>0</v>
      </c>
      <c r="T396" t="n">
        <v>0</v>
      </c>
      <c r="U396" s="2" t="inlineStr"/>
    </row>
    <row r="397" ht="15" customHeight="1">
      <c r="A397" t="inlineStr">
        <is>
          <t>A 51811-2025</t>
        </is>
      </c>
      <c r="B397" t="inlineStr">
        <is>
          <t>avverkningsanmälan</t>
        </is>
      </c>
      <c r="C397" t="inlineStr">
        <is>
          <t>Föryngringsavverkning</t>
        </is>
      </c>
      <c r="D397" s="1" t="n">
        <v>45951</v>
      </c>
      <c r="E397" s="1" t="n">
        <v>46218</v>
      </c>
      <c r="F397" t="inlineStr">
        <is>
          <t>JÖNKÖPINGS LÄN</t>
        </is>
      </c>
      <c r="G397" t="inlineStr">
        <is>
          <t>VAGGERYD</t>
        </is>
      </c>
      <c r="I397" t="n">
        <v>2.4</v>
      </c>
      <c r="J397" t="n">
        <v>0</v>
      </c>
      <c r="K397" t="n">
        <v>0</v>
      </c>
      <c r="L397" t="n">
        <v>0</v>
      </c>
      <c r="M397" t="n">
        <v>0</v>
      </c>
      <c r="N397" t="n">
        <v>0</v>
      </c>
      <c r="O397" t="n">
        <v>0</v>
      </c>
      <c r="P397" t="n">
        <v>0</v>
      </c>
      <c r="Q397" t="n">
        <v>0</v>
      </c>
      <c r="R397" t="n">
        <v>0</v>
      </c>
      <c r="S397" t="n">
        <v>0</v>
      </c>
      <c r="T397" t="n">
        <v>0</v>
      </c>
      <c r="U397" s="2" t="inlineStr"/>
    </row>
    <row r="398" ht="15" customHeight="1">
      <c r="A398" t="inlineStr">
        <is>
          <t>A 9826-2026</t>
        </is>
      </c>
      <c r="B398" t="inlineStr">
        <is>
          <t>avverkningsanmälan</t>
        </is>
      </c>
      <c r="C398" t="inlineStr">
        <is>
          <t>Föryngringsavverkning</t>
        </is>
      </c>
      <c r="D398" s="1" t="n">
        <v>46071</v>
      </c>
      <c r="E398" s="1" t="n">
        <v>46218</v>
      </c>
      <c r="F398" t="inlineStr">
        <is>
          <t>JÖNKÖPINGS LÄN</t>
        </is>
      </c>
      <c r="G398" t="inlineStr">
        <is>
          <t>VAGGERYD</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9700-2026</t>
        </is>
      </c>
      <c r="B399" t="inlineStr">
        <is>
          <t>avverkningsanmälan</t>
        </is>
      </c>
      <c r="C399" t="inlineStr">
        <is>
          <t>Föryngringsavverkning</t>
        </is>
      </c>
      <c r="D399" s="1" t="n">
        <v>46072</v>
      </c>
      <c r="E399" s="1" t="n">
        <v>46218</v>
      </c>
      <c r="F399" t="inlineStr">
        <is>
          <t>JÖNKÖPINGS LÄN</t>
        </is>
      </c>
      <c r="G399" t="inlineStr">
        <is>
          <t>VAGGERYD</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30606-2026</t>
        </is>
      </c>
      <c r="B400" t="inlineStr">
        <is>
          <t>avverkningsanmälan</t>
        </is>
      </c>
      <c r="C400" t="inlineStr">
        <is>
          <t>Föryngringsavverkning</t>
        </is>
      </c>
      <c r="D400" s="1" t="n">
        <v>46210</v>
      </c>
      <c r="E400" s="1" t="n">
        <v>46218</v>
      </c>
      <c r="F400" t="inlineStr">
        <is>
          <t>JÖNKÖPINGS LÄN</t>
        </is>
      </c>
      <c r="G400" t="inlineStr">
        <is>
          <t>VAGGERYD</t>
        </is>
      </c>
      <c r="I400" t="n">
        <v>2.6</v>
      </c>
      <c r="J400" t="n">
        <v>0</v>
      </c>
      <c r="K400" t="n">
        <v>0</v>
      </c>
      <c r="L400" t="n">
        <v>0</v>
      </c>
      <c r="M400" t="n">
        <v>0</v>
      </c>
      <c r="N400" t="n">
        <v>0</v>
      </c>
      <c r="O400" t="n">
        <v>0</v>
      </c>
      <c r="P400" t="n">
        <v>0</v>
      </c>
      <c r="Q400" t="n">
        <v>0</v>
      </c>
      <c r="R400" t="n">
        <v>0</v>
      </c>
      <c r="S400" t="n">
        <v>0</v>
      </c>
      <c r="T400" t="n">
        <v>0</v>
      </c>
      <c r="U400" s="2" t="inlineStr"/>
    </row>
    <row r="401" ht="15" customHeight="1">
      <c r="A401" t="inlineStr">
        <is>
          <t>A 11663-2026</t>
        </is>
      </c>
      <c r="B401" t="inlineStr">
        <is>
          <t>avverkningsanmälan</t>
        </is>
      </c>
      <c r="C401" t="inlineStr">
        <is>
          <t>Föryngringsavverkning</t>
        </is>
      </c>
      <c r="D401" s="1" t="n">
        <v>46084</v>
      </c>
      <c r="E401" s="1" t="n">
        <v>46218</v>
      </c>
      <c r="F401" t="inlineStr">
        <is>
          <t>JÖNKÖPINGS LÄN</t>
        </is>
      </c>
      <c r="G401" t="inlineStr">
        <is>
          <t>VAGGERYD</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11657-2026</t>
        </is>
      </c>
      <c r="B402" t="inlineStr">
        <is>
          <t>avverkningsanmälan</t>
        </is>
      </c>
      <c r="C402" t="inlineStr">
        <is>
          <t>Föryngringsavverkning</t>
        </is>
      </c>
      <c r="D402" s="1" t="n">
        <v>46084</v>
      </c>
      <c r="E402" s="1" t="n">
        <v>46218</v>
      </c>
      <c r="F402" t="inlineStr">
        <is>
          <t>JÖNKÖPINGS LÄN</t>
        </is>
      </c>
      <c r="G402" t="inlineStr">
        <is>
          <t>VAGGERYD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11652-2026</t>
        </is>
      </c>
      <c r="B403" t="inlineStr">
        <is>
          <t>avverkningsanmälan</t>
        </is>
      </c>
      <c r="C403" t="inlineStr">
        <is>
          <t>Föryngringsavverkning</t>
        </is>
      </c>
      <c r="D403" s="1" t="n">
        <v>46084</v>
      </c>
      <c r="E403" s="1" t="n">
        <v>46218</v>
      </c>
      <c r="F403" t="inlineStr">
        <is>
          <t>JÖNKÖPINGS LÄN</t>
        </is>
      </c>
      <c r="G403" t="inlineStr">
        <is>
          <t>VAGGERYD</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11660-2026</t>
        </is>
      </c>
      <c r="B404" t="inlineStr">
        <is>
          <t>avverkningsanmälan</t>
        </is>
      </c>
      <c r="C404" t="inlineStr">
        <is>
          <t>Föryngringsavverkning</t>
        </is>
      </c>
      <c r="D404" s="1" t="n">
        <v>46084</v>
      </c>
      <c r="E404" s="1" t="n">
        <v>46218</v>
      </c>
      <c r="F404" t="inlineStr">
        <is>
          <t>JÖNKÖPINGS LÄN</t>
        </is>
      </c>
      <c r="G404" t="inlineStr">
        <is>
          <t>VAGGERYD</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30833-2026</t>
        </is>
      </c>
      <c r="B405" t="inlineStr">
        <is>
          <t>avverkningsanmälan</t>
        </is>
      </c>
      <c r="C405" t="inlineStr">
        <is>
          <t>Föryngringsavverkning</t>
        </is>
      </c>
      <c r="D405" s="1" t="n">
        <v>46212</v>
      </c>
      <c r="E405" s="1" t="n">
        <v>46218</v>
      </c>
      <c r="F405" t="inlineStr">
        <is>
          <t>JÖNKÖPINGS LÄN</t>
        </is>
      </c>
      <c r="G405" t="inlineStr">
        <is>
          <t>VAGGERYD</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12129-2026</t>
        </is>
      </c>
      <c r="B406" t="inlineStr">
        <is>
          <t>avverkningsanmälan</t>
        </is>
      </c>
      <c r="C406" t="inlineStr">
        <is>
          <t>Föryngringsavverkning</t>
        </is>
      </c>
      <c r="D406" s="1" t="n">
        <v>46086</v>
      </c>
      <c r="E406" s="1" t="n">
        <v>46218</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12078-2026</t>
        </is>
      </c>
      <c r="B407" t="inlineStr">
        <is>
          <t>avverkningsanmälan</t>
        </is>
      </c>
      <c r="C407" t="inlineStr">
        <is>
          <t>Föryngringsavverkning</t>
        </is>
      </c>
      <c r="D407" s="1" t="n">
        <v>46086</v>
      </c>
      <c r="E407" s="1" t="n">
        <v>46218</v>
      </c>
      <c r="F407" t="inlineStr">
        <is>
          <t>JÖNKÖPINGS LÄN</t>
        </is>
      </c>
      <c r="G407" t="inlineStr">
        <is>
          <t>VAGGERYD</t>
        </is>
      </c>
      <c r="I407" t="n">
        <v>3.7</v>
      </c>
      <c r="J407" t="n">
        <v>0</v>
      </c>
      <c r="K407" t="n">
        <v>0</v>
      </c>
      <c r="L407" t="n">
        <v>0</v>
      </c>
      <c r="M407" t="n">
        <v>0</v>
      </c>
      <c r="N407" t="n">
        <v>0</v>
      </c>
      <c r="O407" t="n">
        <v>0</v>
      </c>
      <c r="P407" t="n">
        <v>0</v>
      </c>
      <c r="Q407" t="n">
        <v>0</v>
      </c>
      <c r="R407" t="n">
        <v>0</v>
      </c>
      <c r="S407" t="n">
        <v>0</v>
      </c>
      <c r="T407" t="n">
        <v>0</v>
      </c>
      <c r="U407" s="2" t="inlineStr"/>
    </row>
    <row r="408" ht="15" customHeight="1">
      <c r="A408" t="inlineStr">
        <is>
          <t>A 12060-2026</t>
        </is>
      </c>
      <c r="B408" t="inlineStr">
        <is>
          <t>avverkningsanmälan</t>
        </is>
      </c>
      <c r="C408" t="inlineStr">
        <is>
          <t>Föryngringsavverkning</t>
        </is>
      </c>
      <c r="D408" s="1" t="n">
        <v>46086</v>
      </c>
      <c r="E408" s="1" t="n">
        <v>46218</v>
      </c>
      <c r="F408" t="inlineStr">
        <is>
          <t>JÖNKÖPINGS LÄN</t>
        </is>
      </c>
      <c r="G408" t="inlineStr">
        <is>
          <t>VAGGERYD</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31349-2025</t>
        </is>
      </c>
      <c r="B409" t="inlineStr">
        <is>
          <t>avverkningsanmälan</t>
        </is>
      </c>
      <c r="C409" t="inlineStr">
        <is>
          <t>Föryngringsavverkning</t>
        </is>
      </c>
      <c r="D409" s="1" t="n">
        <v>45832</v>
      </c>
      <c r="E409" s="1" t="n">
        <v>46218</v>
      </c>
      <c r="F409" t="inlineStr">
        <is>
          <t>JÖNKÖPINGS LÄN</t>
        </is>
      </c>
      <c r="G409" t="inlineStr">
        <is>
          <t>VAGGERYD</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14820-2026</t>
        </is>
      </c>
      <c r="B410" t="inlineStr">
        <is>
          <t>avverkningsanmälan</t>
        </is>
      </c>
      <c r="C410" t="inlineStr">
        <is>
          <t>Föryngringsavverkning</t>
        </is>
      </c>
      <c r="D410" s="1" t="n">
        <v>46104</v>
      </c>
      <c r="E410" s="1" t="n">
        <v>46218</v>
      </c>
      <c r="F410" t="inlineStr">
        <is>
          <t>JÖNKÖPINGS LÄN</t>
        </is>
      </c>
      <c r="G410" t="inlineStr">
        <is>
          <t>VAGGERYD</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15135-2026</t>
        </is>
      </c>
      <c r="B411" t="inlineStr">
        <is>
          <t>avverkningsanmälan</t>
        </is>
      </c>
      <c r="C411" t="inlineStr">
        <is>
          <t>Föryngringsavverkning</t>
        </is>
      </c>
      <c r="D411" s="1" t="n">
        <v>46105</v>
      </c>
      <c r="E411" s="1" t="n">
        <v>46218</v>
      </c>
      <c r="F411" t="inlineStr">
        <is>
          <t>JÖNKÖPINGS LÄN</t>
        </is>
      </c>
      <c r="G411" t="inlineStr">
        <is>
          <t>VAGGERYD</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16915-2026</t>
        </is>
      </c>
      <c r="B412" t="inlineStr">
        <is>
          <t>avverkningsanmälan</t>
        </is>
      </c>
      <c r="C412" t="inlineStr">
        <is>
          <t>Föryngringsavverkning</t>
        </is>
      </c>
      <c r="D412" s="1" t="n">
        <v>46113</v>
      </c>
      <c r="E412" s="1" t="n">
        <v>46218</v>
      </c>
      <c r="F412" t="inlineStr">
        <is>
          <t>JÖNKÖPINGS LÄN</t>
        </is>
      </c>
      <c r="G412" t="inlineStr">
        <is>
          <t>VAGGERYD</t>
        </is>
      </c>
      <c r="I412" t="n">
        <v>2.7</v>
      </c>
      <c r="J412" t="n">
        <v>0</v>
      </c>
      <c r="K412" t="n">
        <v>0</v>
      </c>
      <c r="L412" t="n">
        <v>0</v>
      </c>
      <c r="M412" t="n">
        <v>0</v>
      </c>
      <c r="N412" t="n">
        <v>0</v>
      </c>
      <c r="O412" t="n">
        <v>0</v>
      </c>
      <c r="P412" t="n">
        <v>0</v>
      </c>
      <c r="Q412" t="n">
        <v>0</v>
      </c>
      <c r="R412" t="n">
        <v>0</v>
      </c>
      <c r="S412" t="n">
        <v>0</v>
      </c>
      <c r="T412" t="n">
        <v>0</v>
      </c>
      <c r="U412" s="2" t="inlineStr"/>
    </row>
    <row r="413" ht="15" customHeight="1">
      <c r="A413" t="inlineStr">
        <is>
          <t>A 18148-2026</t>
        </is>
      </c>
      <c r="B413" t="inlineStr">
        <is>
          <t>avverkningsanmälan</t>
        </is>
      </c>
      <c r="C413" t="inlineStr">
        <is>
          <t>Föryngringsavverkning</t>
        </is>
      </c>
      <c r="D413" s="1" t="n">
        <v>46125</v>
      </c>
      <c r="E413" s="1" t="n">
        <v>46218</v>
      </c>
      <c r="F413" t="inlineStr">
        <is>
          <t>JÖNKÖPINGS LÄN</t>
        </is>
      </c>
      <c r="G413" t="inlineStr">
        <is>
          <t>VAGGERYD</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18803-2026</t>
        </is>
      </c>
      <c r="B414" t="inlineStr">
        <is>
          <t>avverkningsanmälan</t>
        </is>
      </c>
      <c r="C414" t="inlineStr">
        <is>
          <t>Föryngringsavverkning</t>
        </is>
      </c>
      <c r="D414" s="1" t="n">
        <v>46128</v>
      </c>
      <c r="E414" s="1" t="n">
        <v>46218</v>
      </c>
      <c r="F414" t="inlineStr">
        <is>
          <t>JÖNKÖPINGS LÄN</t>
        </is>
      </c>
      <c r="G414" t="inlineStr">
        <is>
          <t>VAGGERYD</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6925-2025</t>
        </is>
      </c>
      <c r="B415" t="inlineStr">
        <is>
          <t>avverkningsanmälan</t>
        </is>
      </c>
      <c r="C415" t="inlineStr">
        <is>
          <t>Föryngringsavverkning</t>
        </is>
      </c>
      <c r="D415" s="1" t="n">
        <v>45701</v>
      </c>
      <c r="E415" s="1" t="n">
        <v>46218</v>
      </c>
      <c r="F415" t="inlineStr">
        <is>
          <t>JÖNKÖPINGS LÄN</t>
        </is>
      </c>
      <c r="G415" t="inlineStr">
        <is>
          <t>VAGGERYD</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16612-2025</t>
        </is>
      </c>
      <c r="B416" t="inlineStr">
        <is>
          <t>avverkningsanmälan</t>
        </is>
      </c>
      <c r="C416" t="inlineStr">
        <is>
          <t>Föryngringsavverkning</t>
        </is>
      </c>
      <c r="D416" s="1" t="n">
        <v>45753</v>
      </c>
      <c r="E416" s="1" t="n">
        <v>46218</v>
      </c>
      <c r="F416" t="inlineStr">
        <is>
          <t>JÖNKÖPINGS LÄN</t>
        </is>
      </c>
      <c r="G416" t="inlineStr">
        <is>
          <t>VAGGERYD</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34094-2025</t>
        </is>
      </c>
      <c r="B417" t="inlineStr">
        <is>
          <t>avverkningsanmälan</t>
        </is>
      </c>
      <c r="C417" t="inlineStr">
        <is>
          <t>Föryngringsavverkning</t>
        </is>
      </c>
      <c r="D417" s="1" t="n">
        <v>45845</v>
      </c>
      <c r="E417" s="1" t="n">
        <v>46218</v>
      </c>
      <c r="F417" t="inlineStr">
        <is>
          <t>JÖNKÖPINGS LÄN</t>
        </is>
      </c>
      <c r="G417" t="inlineStr">
        <is>
          <t>VAGGERYD</t>
        </is>
      </c>
      <c r="I417" t="n">
        <v>14.5</v>
      </c>
      <c r="J417" t="n">
        <v>0</v>
      </c>
      <c r="K417" t="n">
        <v>0</v>
      </c>
      <c r="L417" t="n">
        <v>0</v>
      </c>
      <c r="M417" t="n">
        <v>0</v>
      </c>
      <c r="N417" t="n">
        <v>0</v>
      </c>
      <c r="O417" t="n">
        <v>0</v>
      </c>
      <c r="P417" t="n">
        <v>0</v>
      </c>
      <c r="Q417" t="n">
        <v>0</v>
      </c>
      <c r="R417" t="n">
        <v>0</v>
      </c>
      <c r="S417" t="n">
        <v>0</v>
      </c>
      <c r="T417" t="n">
        <v>0</v>
      </c>
      <c r="U417" s="2" t="inlineStr"/>
    </row>
    <row r="418" ht="15" customHeight="1">
      <c r="A418" t="inlineStr">
        <is>
          <t>A 59018-2021</t>
        </is>
      </c>
      <c r="B418" t="inlineStr">
        <is>
          <t>avverkningsanmälan</t>
        </is>
      </c>
      <c r="C418" t="inlineStr">
        <is>
          <t>Föryngringsavverkning</t>
        </is>
      </c>
      <c r="D418" s="1" t="n">
        <v>44490</v>
      </c>
      <c r="E418" s="1" t="n">
        <v>46218</v>
      </c>
      <c r="F418" t="inlineStr">
        <is>
          <t>JÖNKÖPINGS LÄN</t>
        </is>
      </c>
      <c r="G418" t="inlineStr">
        <is>
          <t>VAGGERYD</t>
        </is>
      </c>
      <c r="H418" t="inlineStr">
        <is>
          <t>Sveaskog</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S 4752-2024</t>
        </is>
      </c>
      <c r="B419" t="inlineStr">
        <is>
          <t>samrådsanmälan</t>
        </is>
      </c>
      <c r="C419" t="inlineStr">
        <is>
          <t>Annan skogsbruksåtgärd</t>
        </is>
      </c>
      <c r="D419" s="1" t="n">
        <v>45609</v>
      </c>
      <c r="E419" s="1" t="n">
        <v>46218</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s="2" t="inlineStr"/>
    </row>
    <row r="420" ht="15" customHeight="1">
      <c r="A420" t="inlineStr">
        <is>
          <t>S 1665-2023</t>
        </is>
      </c>
      <c r="B420" t="inlineStr">
        <is>
          <t>samrådsanmälan</t>
        </is>
      </c>
      <c r="C420" t="inlineStr">
        <is>
          <t>Askåterföring</t>
        </is>
      </c>
      <c r="D420" s="1" t="n">
        <v>45062</v>
      </c>
      <c r="E420" s="1" t="n">
        <v>46218</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s="2" t="inlineStr"/>
    </row>
    <row r="421" ht="15" customHeight="1">
      <c r="A421" t="inlineStr">
        <is>
          <t>S 1388-2024</t>
        </is>
      </c>
      <c r="B421" t="inlineStr">
        <is>
          <t>samrådsanmälan</t>
        </is>
      </c>
      <c r="C421" t="inlineStr">
        <is>
          <t>Askåterföring</t>
        </is>
      </c>
      <c r="D421" s="1" t="n">
        <v>45411</v>
      </c>
      <c r="E421" s="1" t="n">
        <v>46218</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s="2" t="inlineStr"/>
    </row>
    <row r="422" ht="15" customHeight="1">
      <c r="A422" t="inlineStr">
        <is>
          <t>S 1446-2023</t>
        </is>
      </c>
      <c r="B422" t="inlineStr">
        <is>
          <t>samrådsanmälan</t>
        </is>
      </c>
      <c r="C422" t="inlineStr">
        <is>
          <t>Askåterföring</t>
        </is>
      </c>
      <c r="D422" s="1" t="n">
        <v>45044</v>
      </c>
      <c r="E422" s="1" t="n">
        <v>46218</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s="2" t="inlineStr"/>
    </row>
    <row r="423" ht="15" customHeight="1">
      <c r="A423" t="inlineStr">
        <is>
          <t>S 1504-2023</t>
        </is>
      </c>
      <c r="B423" t="inlineStr">
        <is>
          <t>samrådsanmälan</t>
        </is>
      </c>
      <c r="C423" t="inlineStr">
        <is>
          <t>Askåterföring</t>
        </is>
      </c>
      <c r="D423" s="1" t="n">
        <v>45051</v>
      </c>
      <c r="E423" s="1" t="n">
        <v>46218</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s="2" t="inlineStr"/>
    </row>
    <row r="424" ht="15" customHeight="1">
      <c r="A424" t="inlineStr">
        <is>
          <t>S 5205-2022</t>
        </is>
      </c>
      <c r="B424" t="inlineStr">
        <is>
          <t>samrådsanmälan</t>
        </is>
      </c>
      <c r="C424" t="inlineStr">
        <is>
          <t>Dikesrensning</t>
        </is>
      </c>
      <c r="D424" s="1" t="n">
        <v>44824</v>
      </c>
      <c r="E424" s="1" t="n">
        <v>46218</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S 3918-2022</t>
        </is>
      </c>
      <c r="B425" t="inlineStr">
        <is>
          <t>samrådsanmälan</t>
        </is>
      </c>
      <c r="C425" t="inlineStr">
        <is>
          <t>Askåterföring</t>
        </is>
      </c>
      <c r="D425" s="1" t="n">
        <v>44748</v>
      </c>
      <c r="E425" s="1" t="n">
        <v>46218</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s="2" t="inlineStr"/>
    </row>
    <row r="426" ht="15" customHeight="1">
      <c r="A426" t="inlineStr">
        <is>
          <t>S 1315-2024</t>
        </is>
      </c>
      <c r="B426" t="inlineStr">
        <is>
          <t>samrådsanmälan</t>
        </is>
      </c>
      <c r="C426" t="inlineStr">
        <is>
          <t>Askåterföring</t>
        </is>
      </c>
      <c r="D426" s="1" t="n">
        <v>45406</v>
      </c>
      <c r="E426" s="1" t="n">
        <v>46218</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s="2" t="inlineStr"/>
    </row>
    <row r="427" ht="15" customHeight="1">
      <c r="A427" t="inlineStr">
        <is>
          <t>S 1322-2024</t>
        </is>
      </c>
      <c r="B427" t="inlineStr">
        <is>
          <t>samrådsanmälan</t>
        </is>
      </c>
      <c r="C427" t="inlineStr">
        <is>
          <t>Askåterföring</t>
        </is>
      </c>
      <c r="D427" s="1" t="n">
        <v>45406</v>
      </c>
      <c r="E427" s="1" t="n">
        <v>46218</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s="2" t="inlineStr"/>
    </row>
    <row r="428" ht="15" customHeight="1">
      <c r="A428" t="inlineStr">
        <is>
          <t>S 3587-2022</t>
        </is>
      </c>
      <c r="B428" t="inlineStr">
        <is>
          <t>samrådsanmälan</t>
        </is>
      </c>
      <c r="C428" t="inlineStr">
        <is>
          <t>Skogsbilväg</t>
        </is>
      </c>
      <c r="D428" s="1" t="n">
        <v>44739</v>
      </c>
      <c r="E428" s="1" t="n">
        <v>46218</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46218</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46218</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46218</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46218</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46218</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46218</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46218</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46218</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46218</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46218</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46218</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46218</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46218</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46218</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46218</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46218</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46218</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46218</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46218</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46218</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2026-07-15T01:26:56Z</dcterms:created>
  <dcterms:modified xmlns:dcterms="http://purl.org/dc/terms/" xmlns:xsi="http://www.w3.org/2001/XMLSchema-instance" xsi:type="dcterms:W3CDTF">2026-07-15T01:26:57Z</dcterms:modified>
</cp:coreProperties>
</file>